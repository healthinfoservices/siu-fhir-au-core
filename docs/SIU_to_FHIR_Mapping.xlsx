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IU to FHIR Mapping" sheetId="2" state="visible" r:id="rId2"/>
    <sheet xmlns:r="http://schemas.openxmlformats.org/officeDocument/2006/relationships" name="Code Mapping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AU Core v2 Changes" sheetId="5" state="visible" r:id="rId5"/>
    <sheet xmlns:r="http://schemas.openxmlformats.org/officeDocument/2006/relationships" name="AU Core v2 Code Sets" sheetId="6" state="visible" r:id="rId6"/>
    <sheet xmlns:r="http://schemas.openxmlformats.org/officeDocument/2006/relationships" name="Sources" sheetId="7" state="visible" r:id="rId7"/>
  </sheets>
  <definedNames>
    <definedName name="_xlnm.Print_Titles" localSheetId="1">'SIU to FHIR Mapping'!$1:$1</definedName>
    <definedName name="_xlnm.Print_Titles" localSheetId="2">'Code Mappings'!$1:$1</definedName>
    <definedName name="_xlnm.Print_Titles" localSheetId="3">'Issues'!$1:$1</definedName>
    <definedName name="_xlnm.Print_Titles" localSheetId="4">'AU Core v2 Changes'!$1:$1</definedName>
    <definedName name="_xlnm.Print_Titles" localSheetId="5">'AU Core v2 Code Sets'!$1:$1</definedName>
    <definedName name="_xlnm.Print_Titles" localSheetId="6">'Sources'!$1:$1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i val="1"/>
      <sz val="9"/>
    </font>
  </fonts>
  <fills count="7">
    <fill>
      <patternFill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5" fillId="4" borderId="0" applyAlignment="1" pivotButton="0" quotePrefix="0" xfId="0">
      <alignment horizontal="general" vertical="top" wrapText="1"/>
    </xf>
    <xf numFmtId="0" fontId="5" fillId="5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5" fillId="4" borderId="0" applyAlignment="1" pivotButton="0" quotePrefix="0" xfId="0">
      <alignment horizontal="general" vertical="top" wrapText="1"/>
    </xf>
    <xf numFmtId="0" fontId="5" fillId="5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  <dxf>
      <font>
        <name val="Arial"/>
        <charset val="1"/>
        <family val="0"/>
        <color rgb="FF9C5700"/>
        <sz val="9"/>
      </font>
    </dxf>
    <dxf>
      <font>
        <name val="Arial"/>
        <charset val="1"/>
        <family val="0"/>
        <b val="1"/>
        <color rgb="FFC00000"/>
        <sz val="9"/>
      </font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apping" displayName="Mapping" ref="A1:O72" headerRowCount="1" totalsRowCount="0" totalsRowShown="0">
  <autoFilter ref="A1:O72"/>
  <tableColumns count="15">
    <tableColumn id="1" name="Segment"/>
    <tableColumn id="2" name="SIU Element"/>
    <tableColumn id="3" name="SIU Element Name"/>
    <tableColumn id="4" name="SIU Data Type"/>
    <tableColumn id="5" name="SIU Element Description"/>
    <tableColumn id="6" name="SIU Code Set"/>
    <tableColumn id="7" name="Mapping Status"/>
    <tableColumn id="8" name="FHIR Resource"/>
    <tableColumn id="9" name="FHIR Element"/>
    <tableColumn id="10" name="FHIR Element Description"/>
    <tableColumn id="11" name="FHIR Value Set / Code System"/>
    <tableColumn id="12" name="FHIR Binding Strength"/>
    <tableColumn id="13" name="Transformation Rule"/>
    <tableColumn id="14" name="Comparison with HL7 v2-to-FHIR IG"/>
    <tableColumn id="15" name="Notes"/>
  </tableColumns>
</table>
</file>

<file path=xl/tables/table2.xml><?xml version="1.0" encoding="utf-8"?>
<table xmlns="http://schemas.openxmlformats.org/spreadsheetml/2006/main" id="2" name="CodeMappings" displayName="CodeMappings" ref="A1:I35" headerRowCount="1" totalsRowCount="0" totalsRowShown="0">
  <autoFilter ref="A1:I35"/>
  <tableColumns count="9">
    <tableColumn id="1" name="SIU Element / Code Set"/>
    <tableColumn id="2" name="SIU Code"/>
    <tableColumn id="3" name="SIU Meaning"/>
    <tableColumn id="4" name="FHIR Value Set / Element"/>
    <tableColumn id="5" name="FHIR Code"/>
    <tableColumn id="6" name="FHIR Display"/>
    <tableColumn id="7" name="Equivalence"/>
    <tableColumn id="8" name="Comparison with HL7 v2-to-FHIR IG"/>
    <tableColumn id="9" name="Notes"/>
  </tableColumns>
</table>
</file>

<file path=xl/tables/table3.xml><?xml version="1.0" encoding="utf-8"?>
<table xmlns="http://schemas.openxmlformats.org/spreadsheetml/2006/main" id="3" name="Issues" displayName="Issues" ref="A1:F16" headerRowCount="1" totalsRowCount="0" totalsRowShown="0">
  <autoFilter ref="A1:F16"/>
  <tableColumns count="6">
    <tableColumn id="1" name="ID"/>
    <tableColumn id="2" name="Type"/>
    <tableColumn id="3" name="SIU Element(s)"/>
    <tableColumn id="4" name="Description"/>
    <tableColumn id="5" name="Suggested Action / Resolution"/>
    <tableColumn id="6" name="Status"/>
  </tableColumns>
</table>
</file>

<file path=xl/tables/table4.xml><?xml version="1.0" encoding="utf-8"?>
<table xmlns="http://schemas.openxmlformats.org/spreadsheetml/2006/main" id="4" name="AUCoreChanges" displayName="AUCoreChanges" ref="A1:L28" headerRowCount="1" totalsRowCount="0" totalsRowShown="0">
  <autoFilter ref="A1:L28"/>
  <tableColumns count="12">
    <tableColumn id="1" name="ID"/>
    <tableColumn id="2" name="Area"/>
    <tableColumn id="3" name="SIU Element(s)"/>
    <tableColumn id="4" name="Base PoC Mapping"/>
    <tableColumn id="5" name="AU Core v2.0.0 Requirement"/>
    <tableColumn id="6" name="Proposed AU Core Mapping (9 Oct)"/>
    <tableColumn id="7" name="Change Type"/>
    <tableColumn id="8" name="Impact"/>
    <tableColumn id="9" name="Verification / Confidence"/>
    <tableColumn id="10" name="Source"/>
    <tableColumn id="11" name="AU Core Build - As Implemented (26 Oct)"/>
    <tableColumn id="12" name="Build Status"/>
  </tableColumns>
</table>
</file>

<file path=xl/tables/table5.xml><?xml version="1.0" encoding="utf-8"?>
<table xmlns="http://schemas.openxmlformats.org/spreadsheetml/2006/main" id="5" name="AUCoreCodes" displayName="AUCoreCodes" ref="A1:I19" headerRowCount="1" totalsRowCount="0" totalsRowShown="0">
  <autoFilter ref="A1:I19"/>
  <tableColumns count="9">
    <tableColumn id="1" name="ID"/>
    <tableColumn id="2" name="SIU Element / Code Set"/>
    <tableColumn id="3" name="SIU Code(s)"/>
    <tableColumn id="4" name="Base PoC FHIR Mapping"/>
    <tableColumn id="5" name="AU Core v2 Code System / Value Set (strength)"/>
    <tableColumn id="6" name="Proposed AU Core Mapping (9 Oct)"/>
    <tableColumn id="7" name="Notes / Verification"/>
    <tableColumn id="8" name="AU Core Build - As Implemented (26 Oct)"/>
    <tableColumn id="9" name="Build Status"/>
  </tableColumns>
</table>
</file>

<file path=xl/tables/table6.xml><?xml version="1.0" encoding="utf-8"?>
<table xmlns="http://schemas.openxmlformats.org/spreadsheetml/2006/main" id="6" name="Sources" displayName="Sources" ref="A1:C37" headerRowCount="1" totalsRowCount="0" totalsRowShown="0">
  <autoFilter ref="A1:C37"/>
  <tableColumns count="3">
    <tableColumn id="1" name="Source"/>
    <tableColumn id="2" name="Location"/>
    <tableColumn id="3" name="Used F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2" min="1" max="1"/>
    <col width="12" customWidth="1" style="12" min="2" max="2"/>
  </cols>
  <sheetData>
    <row r="1" ht="17.35" customHeight="1" s="13">
      <c r="A1" s="14" t="inlineStr">
        <is>
          <t>SIU to FHIR Mapping - siu2fhir proof of concept</t>
        </is>
      </c>
    </row>
    <row r="2" ht="23.85" customHeight="1" s="13">
      <c r="A2" s="15" t="inlineStr">
        <is>
          <t>HL7 v2.5 SIU S12/S13/S14/S15 -&gt; FHIR R4 (4.0.1) Appointment, Patient, Practitioner, Location. Simulated data only; not for clinical use.</t>
        </is>
      </c>
    </row>
    <row r="3" ht="23.85" customHeight="1" s="13">
      <c r="A3" s="15" t="inlineStr">
        <is>
          <t>Prepared 9 October 2026 from the service code (siu2fhir/mapping.py); updated the same day after the ISSUE-01, 02, 04 and 15 fixes.</t>
        </is>
      </c>
    </row>
    <row r="4" ht="15" customHeight="1" s="13">
      <c r="A4" s="15" t="n"/>
    </row>
    <row r="5" ht="15" customHeight="1" s="13">
      <c r="A5" s="16" t="inlineStr">
        <is>
          <t>Sheets</t>
        </is>
      </c>
    </row>
    <row r="6" ht="23.85" customHeight="1" s="13">
      <c r="A6" s="15" t="inlineStr">
        <is>
          <t>SIU to FHIR Mapping - one row per SIU element (or component) and the FHIR element it populates; includes SIU elements used for processing but not mapped, and notable elements not used.</t>
        </is>
      </c>
    </row>
    <row r="7" ht="15" customHeight="1" s="13">
      <c r="A7" s="15" t="inlineStr">
        <is>
          <t>Code Mappings - value-level mappings from HL7 code sets to FHIR codes.</t>
        </is>
      </c>
    </row>
    <row r="8" ht="15" customHeight="1" s="13">
      <c r="A8" s="15" t="inlineStr">
        <is>
          <t>Issues - defects, deviations from the HL7 v2-to-FHIR IG, and assumptions found while preparing this workbook.</t>
        </is>
      </c>
    </row>
    <row r="9" ht="23.85" customHeight="1" s="13">
      <c r="A9" s="15" t="inlineStr">
        <is>
          <t>AU Core v2 Changes - AU Core 2.0.0 changes element by element: the 9 Oct proposal and what the AU Core build (siu-fhir-au-core) implements as of 26 Oct 2026.</t>
        </is>
      </c>
    </row>
    <row r="10" ht="15" customHeight="1" s="13">
      <c r="A10" s="15" t="inlineStr">
        <is>
          <t>AU Core v2 Code Sets - code system / value set changes, proposed and as implemented.</t>
        </is>
      </c>
    </row>
    <row r="11" ht="23.85" customHeight="1" s="13">
      <c r="A11" s="15" t="inlineStr">
        <is>
          <t>The base mapping sheets (SIU to FHIR Mapping, Code Mappings, Issues) describe the base PoC (siu-fhir-poc), which is unchanged.</t>
        </is>
      </c>
    </row>
    <row r="12" ht="15" customHeight="1" s="13">
      <c r="A12" s="15" t="inlineStr">
        <is>
          <t>Sources - specifications checked.</t>
        </is>
      </c>
    </row>
    <row r="13" ht="15" customHeight="1" s="13">
      <c r="A13" s="15" t="n"/>
    </row>
    <row r="14" ht="15" customHeight="1" s="13">
      <c r="A14" s="16" t="inlineStr">
        <is>
          <t>Mapping status</t>
        </is>
      </c>
    </row>
    <row r="15" ht="15" customHeight="1" s="13">
      <c r="A15" s="17" t="inlineStr">
        <is>
          <t>Mapped - the SIU element's value is copied or transformed into the FHIR element.</t>
        </is>
      </c>
    </row>
    <row r="16" ht="15" customHeight="1" s="13">
      <c r="A16" s="18" t="inlineStr">
        <is>
          <t>Mapped (derived) - the FHIR value is built from the element plus a rule or constant (e.g. identifier systems, fallback timing).</t>
        </is>
      </c>
    </row>
    <row r="17" ht="15" customHeight="1" s="13">
      <c r="A17" s="19" t="inlineStr">
        <is>
          <t>Used - not mapped - read and used to control processing (validation, matching, ACK) but not stored in FHIR.</t>
        </is>
      </c>
    </row>
    <row r="18" ht="15" customHeight="1" s="13">
      <c r="A18" s="20" t="inlineStr">
        <is>
          <t>Not used - not read by the service. Listed where it matters (e.g. the HL7 v2-to-FHIR IG maps it).</t>
        </is>
      </c>
    </row>
    <row r="19" ht="15" customHeight="1" s="13">
      <c r="A19" s="15" t="n"/>
    </row>
    <row r="20" ht="15" customHeight="1" s="13">
      <c r="A20" s="16" t="inlineStr">
        <is>
          <t>Conventions</t>
        </is>
      </c>
    </row>
    <row r="21" ht="15" customHeight="1" s="13">
      <c r="A21" s="15" t="inlineStr">
        <is>
          <t>{base} = IDENTIFIER_SYSTEM_BASE configuration value (placeholder http://example.org/fhir/sid).</t>
        </is>
      </c>
    </row>
    <row r="22" ht="23.85" customHeight="1" s="13">
      <c r="A22" s="15" t="inlineStr">
        <is>
          <t>IG = HL7 Version 2 to FHIR Implementation Guide v1.0.0 (STU 1), hl7.fhir.uv.v2mappings - the official HL7 mapping guidance.</t>
        </is>
      </c>
    </row>
    <row r="23" ht="23.85" customHeight="1" s="13">
      <c r="A23" s="15" t="inlineStr">
        <is>
          <t>† after an HL7 table number = table number from memory, not checked against the specification in this session. Others were checked.</t>
        </is>
      </c>
    </row>
    <row r="24" ht="23.85" customHeight="1" s="13">
      <c r="A24" s="15" t="inlineStr">
        <is>
          <t>SIU element descriptions are short plain-English summaries, not quotes. FHIR element descriptions are summarised from the R4 definitions.</t>
        </is>
      </c>
    </row>
    <row r="25" ht="23.85" customHeight="1" s="13">
      <c r="A25" s="15" t="inlineStr">
        <is>
          <t>Value set URLs are FHIR canonical URLs inferred from the R4 page links; binding strengths were checked against the R4 definitions.</t>
        </is>
      </c>
    </row>
    <row r="26" ht="15" customHeight="1" s="13">
      <c r="A26" s="15" t="n"/>
    </row>
    <row r="27" ht="15" customHeight="1" s="13">
      <c r="A27" s="16" t="inlineStr">
        <is>
          <t>Summary</t>
        </is>
      </c>
    </row>
    <row r="28" ht="15" customHeight="1" s="13">
      <c r="A28" s="21" t="inlineStr">
        <is>
          <t>Mapping rows</t>
        </is>
      </c>
      <c r="B28" s="21">
        <f>COUNTA('SIU to FHIR Mapping'!B:B)-1</f>
        <v/>
      </c>
    </row>
    <row r="29" ht="15" customHeight="1" s="13">
      <c r="A29" s="21" t="inlineStr">
        <is>
          <t>Mapped</t>
        </is>
      </c>
      <c r="B29" s="21">
        <f>COUNTIF('SIU to FHIR Mapping'!G:G,"Mapped")</f>
        <v/>
      </c>
    </row>
    <row r="30" ht="15" customHeight="1" s="13">
      <c r="A30" s="21" t="inlineStr">
        <is>
          <t>Mapped (derived)</t>
        </is>
      </c>
      <c r="B30" s="21">
        <f>COUNTIF('SIU to FHIR Mapping'!G:G,"Mapped (derived)")</f>
        <v/>
      </c>
    </row>
    <row r="31" ht="15" customHeight="1" s="13">
      <c r="A31" s="21" t="inlineStr">
        <is>
          <t>Used - not mapped</t>
        </is>
      </c>
      <c r="B31" s="21">
        <f>COUNTIF('SIU to FHIR Mapping'!G:G,"Used - not mapped")</f>
        <v/>
      </c>
    </row>
    <row r="32" ht="15" customHeight="1" s="13">
      <c r="A32" s="21" t="inlineStr">
        <is>
          <t>Not used</t>
        </is>
      </c>
      <c r="B32" s="21">
        <f>COUNTIF('SIU to FHIR Mapping'!G:G,"Not used")</f>
        <v/>
      </c>
    </row>
    <row r="33" ht="15" customHeight="1" s="13">
      <c r="A33" s="21" t="inlineStr">
        <is>
          <t>Code mapping rows</t>
        </is>
      </c>
      <c r="B33" s="21">
        <f>COUNTA('Code Mappings'!B:B)-1</f>
        <v/>
      </c>
    </row>
    <row r="34" ht="15" customHeight="1" s="13">
      <c r="A34" s="21" t="inlineStr">
        <is>
          <t>Issues - defects open</t>
        </is>
      </c>
      <c r="B34" s="21">
        <f>COUNTIFS(Issues!B:B,"Defect*",Issues!F:F,"Open")</f>
        <v/>
      </c>
    </row>
    <row r="35" ht="15" customHeight="1" s="13">
      <c r="A35" s="21" t="inlineStr">
        <is>
          <t>Issues - defects fixed</t>
        </is>
      </c>
      <c r="B35" s="21">
        <f>COUNTIFS(Issues!B:B,"Defect*",Issues!F:F,"Fixed")</f>
        <v/>
      </c>
    </row>
    <row r="36" ht="15" customHeight="1" s="13">
      <c r="A36" s="21" t="inlineStr">
        <is>
          <t>Issues - deviations from IG</t>
        </is>
      </c>
      <c r="B36" s="21">
        <f>COUNTIF(Issues!B:B,"Deviation*")</f>
        <v/>
      </c>
    </row>
    <row r="37" ht="15" customHeight="1" s="13">
      <c r="A37" s="21" t="inlineStr">
        <is>
          <t>Issues - total</t>
        </is>
      </c>
      <c r="B37" s="21">
        <f>COUNTA(Issues!A:A)-1</f>
        <v/>
      </c>
    </row>
    <row r="38" ht="15" customHeight="1" s="13">
      <c r="A38" s="21" t="inlineStr">
        <is>
          <t>AU Core v2 changes - total</t>
        </is>
      </c>
      <c r="B38" s="21">
        <f>COUNTA('AU Core v2 Changes'!A:A)-1</f>
        <v/>
      </c>
    </row>
    <row r="39" ht="15" customHeight="1" s="13">
      <c r="A39" s="21" t="inlineStr">
        <is>
          <t>AU Core v2 changes - required (validation error if not done)</t>
        </is>
      </c>
      <c r="B39" s="21">
        <f>COUNTIF('AU Core v2 Changes'!H:H,"Required - non-conformant*")</f>
        <v/>
      </c>
    </row>
    <row r="40" ht="15" customHeight="1" s="13">
      <c r="A40" s="21" t="inlineStr">
        <is>
          <t>AU Core v2 changes - required (Must Support populate-if-known)</t>
        </is>
      </c>
      <c r="B40" s="21">
        <f>COUNTIF('AU Core v2 Changes'!H:H,"Required - Must Support*")</f>
        <v/>
      </c>
    </row>
    <row r="41" ht="15" customHeight="1" s="13">
      <c r="A41" s="21" t="inlineStr">
        <is>
          <t>AU Core v2 code set changes</t>
        </is>
      </c>
      <c r="B41" s="21">
        <f>COUNTA('AU Core v2 Code Sets'!A:A)-1</f>
        <v/>
      </c>
    </row>
    <row r="42" ht="15" customHeight="1" s="13">
      <c r="A42" s="21" t="inlineStr">
        <is>
          <t>AU Core build - implemented as proposed</t>
        </is>
      </c>
      <c r="B42" s="21">
        <f>COUNTIF('AU Core v2 Changes'!L:L,"Implemented as proposed")</f>
        <v/>
      </c>
    </row>
    <row r="43" ht="15" customHeight="1" s="13">
      <c r="A43" s="21" t="inlineStr">
        <is>
          <t>AU Core build - implemented differently</t>
        </is>
      </c>
      <c r="B43" s="21">
        <f>COUNTIF('AU Core v2 Changes'!L:L,"Implemented differently")</f>
        <v/>
      </c>
    </row>
    <row r="44" ht="15" customHeight="1" s="13">
      <c r="A44" s="21" t="inlineStr">
        <is>
          <t>AU Core build - not implemented</t>
        </is>
      </c>
      <c r="B44" s="21">
        <f>COUNTIF('AU Core v2 Changes'!L:L,"Not implemented")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7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2" min="1" max="1"/>
    <col width="15" customWidth="1" style="12" min="2" max="2"/>
    <col width="26" customWidth="1" style="12" min="3" max="3"/>
    <col width="10" customWidth="1" style="12" min="4" max="4"/>
    <col width="30" customWidth="1" style="12" min="5" max="5"/>
    <col width="18" customWidth="1" style="12" min="6" max="6"/>
    <col width="14" customWidth="1" style="12" min="7" max="7"/>
    <col width="13" customWidth="1" style="12" min="8" max="8"/>
    <col width="32" customWidth="1" style="12" min="9" max="9"/>
    <col width="38" customWidth="1" style="12" min="10" max="10"/>
    <col width="36" customWidth="1" style="12" min="11" max="11"/>
    <col width="12" customWidth="1" style="12" min="12" max="12"/>
    <col width="42" customWidth="1" style="12" min="13" max="13"/>
    <col width="36" customWidth="1" style="12" min="14" max="14"/>
    <col width="46" customWidth="1" style="12" min="15" max="15"/>
  </cols>
  <sheetData>
    <row r="1" ht="31.5" customHeight="1" s="13">
      <c r="A1" s="22" t="inlineStr">
        <is>
          <t>Segment</t>
        </is>
      </c>
      <c r="B1" s="22" t="inlineStr">
        <is>
          <t>SIU Element</t>
        </is>
      </c>
      <c r="C1" s="22" t="inlineStr">
        <is>
          <t>SIU Element Name</t>
        </is>
      </c>
      <c r="D1" s="22" t="inlineStr">
        <is>
          <t>SIU Data Type</t>
        </is>
      </c>
      <c r="E1" s="22" t="inlineStr">
        <is>
          <t>SIU Element Description</t>
        </is>
      </c>
      <c r="F1" s="22" t="inlineStr">
        <is>
          <t>SIU Code Set</t>
        </is>
      </c>
      <c r="G1" s="22" t="inlineStr">
        <is>
          <t>Mapping Status</t>
        </is>
      </c>
      <c r="H1" s="22" t="inlineStr">
        <is>
          <t>FHIR Resource</t>
        </is>
      </c>
      <c r="I1" s="22" t="inlineStr">
        <is>
          <t>FHIR Element</t>
        </is>
      </c>
      <c r="J1" s="22" t="inlineStr">
        <is>
          <t>FHIR Element Description</t>
        </is>
      </c>
      <c r="K1" s="22" t="inlineStr">
        <is>
          <t>FHIR Value Set / Code System</t>
        </is>
      </c>
      <c r="L1" s="22" t="inlineStr">
        <is>
          <t>FHIR Binding Strength</t>
        </is>
      </c>
      <c r="M1" s="22" t="inlineStr">
        <is>
          <t>Transformation Rule</t>
        </is>
      </c>
      <c r="N1" s="22" t="inlineStr">
        <is>
          <t>Comparison with HL7 v2-to-FHIR IG</t>
        </is>
      </c>
      <c r="O1" s="22" t="inlineStr">
        <is>
          <t>Notes</t>
        </is>
      </c>
    </row>
    <row r="2" ht="22.35" customHeight="1" s="13">
      <c r="A2" s="23" t="inlineStr">
        <is>
          <t>MSH</t>
        </is>
      </c>
      <c r="B2" s="23" t="inlineStr">
        <is>
          <t>MSH-3</t>
        </is>
      </c>
      <c r="C2" s="23" t="inlineStr">
        <is>
          <t>Sending Application</t>
        </is>
      </c>
      <c r="D2" s="23" t="inlineStr">
        <is>
          <t>HD</t>
        </is>
      </c>
      <c r="E2" s="23" t="inlineStr">
        <is>
          <t>Application that sent the message.</t>
        </is>
      </c>
      <c r="F2" s="23" t="n"/>
      <c r="G2" s="23" t="inlineStr">
        <is>
          <t>Used - not mapped</t>
        </is>
      </c>
      <c r="H2" s="23" t="n"/>
      <c r="I2" s="23" t="n"/>
      <c r="J2" s="23" t="n"/>
      <c r="K2" s="23" t="n"/>
      <c r="L2" s="23" t="n"/>
      <c r="M2" s="23" t="inlineStr">
        <is>
          <t>Copied unchanged into ACK MSH-5.</t>
        </is>
      </c>
      <c r="N2" s="23" t="inlineStr">
        <is>
          <t>IG maps MSH to MessageHeader/Provenance (not implemented).</t>
        </is>
      </c>
      <c r="O2" s="23" t="n"/>
    </row>
    <row r="3" ht="22.35" customHeight="1" s="13">
      <c r="A3" s="23" t="inlineStr">
        <is>
          <t>MSH</t>
        </is>
      </c>
      <c r="B3" s="23" t="inlineStr">
        <is>
          <t>MSH-4</t>
        </is>
      </c>
      <c r="C3" s="23" t="inlineStr">
        <is>
          <t>Sending Facility</t>
        </is>
      </c>
      <c r="D3" s="23" t="inlineStr">
        <is>
          <t>HD</t>
        </is>
      </c>
      <c r="E3" s="23" t="inlineStr">
        <is>
          <t>Facility of the sending application.</t>
        </is>
      </c>
      <c r="F3" s="23" t="n"/>
      <c r="G3" s="23" t="inlineStr">
        <is>
          <t>Used - not mapped</t>
        </is>
      </c>
      <c r="H3" s="23" t="n"/>
      <c r="I3" s="23" t="n"/>
      <c r="J3" s="23" t="n"/>
      <c r="K3" s="23" t="n"/>
      <c r="L3" s="23" t="n"/>
      <c r="M3" s="23" t="inlineStr">
        <is>
          <t>Copied unchanged into ACK MSH-6.</t>
        </is>
      </c>
      <c r="N3" s="23" t="n"/>
      <c r="O3" s="23" t="n"/>
    </row>
    <row r="4" ht="22.35" customHeight="1" s="13">
      <c r="A4" s="23" t="inlineStr">
        <is>
          <t>MSH</t>
        </is>
      </c>
      <c r="B4" s="23" t="inlineStr">
        <is>
          <t>MSH-5 / MSH-6</t>
        </is>
      </c>
      <c r="C4" s="23" t="inlineStr">
        <is>
          <t>Receiving Application / Facility</t>
        </is>
      </c>
      <c r="D4" s="23" t="inlineStr">
        <is>
          <t>HD</t>
        </is>
      </c>
      <c r="E4" s="23" t="inlineStr">
        <is>
          <t>Intended receiving application and facility.</t>
        </is>
      </c>
      <c r="F4" s="23" t="n"/>
      <c r="G4" s="23" t="inlineStr">
        <is>
          <t>Not used</t>
        </is>
      </c>
      <c r="H4" s="23" t="n"/>
      <c r="I4" s="23" t="n"/>
      <c r="J4" s="23" t="n"/>
      <c r="K4" s="23" t="n"/>
      <c r="L4" s="23" t="n"/>
      <c r="M4" s="23" t="n"/>
      <c r="N4" s="23" t="n"/>
      <c r="O4" s="23" t="inlineStr">
        <is>
          <t>Not checked. The ACK's own MSH-3/4 come from RECEIVING_APP / RECEIVING_FACILITY configuration.</t>
        </is>
      </c>
    </row>
    <row r="5" ht="43.25" customHeight="1" s="13">
      <c r="A5" s="23" t="inlineStr">
        <is>
          <t>MSH</t>
        </is>
      </c>
      <c r="B5" s="23" t="inlineStr">
        <is>
          <t>MSH-7</t>
        </is>
      </c>
      <c r="C5" s="23" t="inlineStr">
        <is>
          <t>Date/Time Of Message</t>
        </is>
      </c>
      <c r="D5" s="23" t="inlineStr">
        <is>
          <t>TS</t>
        </is>
      </c>
      <c r="E5" s="23" t="inlineStr">
        <is>
          <t>Date/time the sending system created the message.</t>
        </is>
      </c>
      <c r="F5" s="23" t="n"/>
      <c r="G5" s="23" t="inlineStr">
        <is>
          <t>Mapped</t>
        </is>
      </c>
      <c r="H5" s="23" t="inlineStr">
        <is>
          <t>Appointment</t>
        </is>
      </c>
      <c r="I5" s="23" t="inlineStr">
        <is>
          <t>Appointment.extension[sourceMessageDateTime].valueDateTime</t>
        </is>
      </c>
      <c r="J5" s="23" t="inlineStr">
        <is>
          <t>PoC extension (source-message-datetime): MSH-7 of the last HL7 v2 message applied to this Appointment.</t>
        </is>
      </c>
      <c r="K5" s="23" t="n"/>
      <c r="L5" s="23" t="n"/>
      <c r="M5" s="23" t="inlineStr">
        <is>
          <t>TS.1 parsed as HL7 DTM; offset kept, or DEFAULT_TZ (Australia/Brisbane) applied if absent.</t>
        </is>
      </c>
      <c r="N5" s="23" t="inlineStr">
        <is>
          <t>PoC-specific extension; not in the IG.</t>
        </is>
      </c>
      <c r="O5" s="23" t="inlineStr">
        <is>
          <t>Also drives the ordering guard: a message whose MSH-7 is earlier than the stored value is ACKed (AA) but not applied. If MSH-7 can't be parsed the guard is skipped for that message and a warning logged.</t>
        </is>
      </c>
    </row>
    <row r="6" ht="22.35" customHeight="1" s="13">
      <c r="A6" s="23" t="inlineStr">
        <is>
          <t>MSH</t>
        </is>
      </c>
      <c r="B6" s="23" t="inlineStr">
        <is>
          <t>MSH-9.1</t>
        </is>
      </c>
      <c r="C6" s="23" t="inlineStr">
        <is>
          <t>Message Type - message code</t>
        </is>
      </c>
      <c r="D6" s="23" t="inlineStr">
        <is>
          <t>MSG</t>
        </is>
      </c>
      <c r="E6" s="23" t="inlineStr">
        <is>
          <t>Message type, e.g. SIU.</t>
        </is>
      </c>
      <c r="F6" s="23" t="inlineStr">
        <is>
          <t>HL7 table 0076 †</t>
        </is>
      </c>
      <c r="G6" s="23" t="inlineStr">
        <is>
          <t>Used - not mapped</t>
        </is>
      </c>
      <c r="H6" s="23" t="n"/>
      <c r="I6" s="23" t="n"/>
      <c r="J6" s="23" t="n"/>
      <c r="K6" s="23" t="n"/>
      <c r="L6" s="23" t="n"/>
      <c r="M6" s="23" t="inlineStr">
        <is>
          <t>Must be SIU, otherwise ACK AR with ERR-3 code 200.</t>
        </is>
      </c>
      <c r="N6" s="23" t="n"/>
      <c r="O6" s="23" t="n"/>
    </row>
    <row r="7" ht="22.35" customHeight="1" s="13">
      <c r="A7" s="23" t="inlineStr">
        <is>
          <t>MSH</t>
        </is>
      </c>
      <c r="B7" s="23" t="inlineStr">
        <is>
          <t>MSH-9.2</t>
        </is>
      </c>
      <c r="C7" s="23" t="inlineStr">
        <is>
          <t>Message Type - trigger event</t>
        </is>
      </c>
      <c r="D7" s="23" t="inlineStr">
        <is>
          <t>MSG</t>
        </is>
      </c>
      <c r="E7" s="23" t="inlineStr">
        <is>
          <t>Trigger event, e.g. S12.</t>
        </is>
      </c>
      <c r="F7" s="23" t="inlineStr">
        <is>
          <t>HL7 table 0003 †</t>
        </is>
      </c>
      <c r="G7" s="23" t="inlineStr">
        <is>
          <t>Used - not mapped</t>
        </is>
      </c>
      <c r="H7" s="23" t="n"/>
      <c r="I7" s="23" t="n"/>
      <c r="J7" s="23" t="n"/>
      <c r="K7" s="23" t="n"/>
      <c r="L7" s="23" t="n"/>
      <c r="M7" s="23" t="inlineStr">
        <is>
          <t>Must be S12, S13, S14 or S15, otherwise ACK AR with ERR-3 code 201. Echoed in ACK MSH-9.2.</t>
        </is>
      </c>
      <c r="N7" s="23" t="n"/>
      <c r="O7" s="23" t="inlineStr">
        <is>
          <t>Selects the status rule (see SCH-25). MSH-9.3 (message structure) is not read.</t>
        </is>
      </c>
    </row>
    <row r="8" ht="32.8" customHeight="1" s="13">
      <c r="A8" s="23" t="inlineStr">
        <is>
          <t>MSH</t>
        </is>
      </c>
      <c r="B8" s="23" t="inlineStr">
        <is>
          <t>MSH-10</t>
        </is>
      </c>
      <c r="C8" s="23" t="inlineStr">
        <is>
          <t>Message Control ID</t>
        </is>
      </c>
      <c r="D8" s="23" t="inlineStr">
        <is>
          <t>ST</t>
        </is>
      </c>
      <c r="E8" s="23" t="inlineStr">
        <is>
          <t>Sender's unique identifier for this message.</t>
        </is>
      </c>
      <c r="F8" s="23" t="n"/>
      <c r="G8" s="23" t="inlineStr">
        <is>
          <t>Mapped</t>
        </is>
      </c>
      <c r="H8" s="23" t="inlineStr">
        <is>
          <t>Appointment</t>
        </is>
      </c>
      <c r="I8" s="23" t="inlineStr">
        <is>
          <t>Appointment.extension[sourceMessageControlId].valueString</t>
        </is>
      </c>
      <c r="J8" s="23" t="inlineStr">
        <is>
          <t>PoC extension (source-message-control-id): MSH-10 of the last HL7 v2 message applied to this Appointment.</t>
        </is>
      </c>
      <c r="K8" s="23" t="n"/>
      <c r="L8" s="23" t="n"/>
      <c r="M8" s="23" t="inlineStr">
        <is>
          <t>Copied unchanged.</t>
        </is>
      </c>
      <c r="N8" s="23" t="inlineStr">
        <is>
          <t>PoC-specific extension; not in the IG.</t>
        </is>
      </c>
      <c r="O8" s="23" t="inlineStr">
        <is>
          <t>Also returned in ACK MSA-2.</t>
        </is>
      </c>
    </row>
    <row r="9" ht="22.35" customHeight="1" s="13">
      <c r="A9" s="23" t="inlineStr">
        <is>
          <t>MSH</t>
        </is>
      </c>
      <c r="B9" s="23" t="inlineStr">
        <is>
          <t>MSH-11</t>
        </is>
      </c>
      <c r="C9" s="23" t="inlineStr">
        <is>
          <t>Processing ID</t>
        </is>
      </c>
      <c r="D9" s="23" t="inlineStr">
        <is>
          <t>PT</t>
        </is>
      </c>
      <c r="E9" s="23" t="inlineStr">
        <is>
          <t>Production, training or debugging.</t>
        </is>
      </c>
      <c r="F9" s="23" t="inlineStr">
        <is>
          <t>HL7 table 0103 †</t>
        </is>
      </c>
      <c r="G9" s="23" t="inlineStr">
        <is>
          <t>Used - not mapped</t>
        </is>
      </c>
      <c r="H9" s="23" t="n"/>
      <c r="I9" s="23" t="n"/>
      <c r="J9" s="23" t="n"/>
      <c r="K9" s="23" t="n"/>
      <c r="L9" s="23" t="n"/>
      <c r="M9" s="23" t="inlineStr">
        <is>
          <t>Echoed in ACK MSH-11 (P if empty).</t>
        </is>
      </c>
      <c r="N9" s="23" t="n"/>
      <c r="O9" s="23" t="inlineStr">
        <is>
          <t>Not checked: a training (T) or debug (D) message is applied like production.</t>
        </is>
      </c>
    </row>
    <row r="10" ht="22.35" customHeight="1" s="13">
      <c r="A10" s="23" t="inlineStr">
        <is>
          <t>MSH</t>
        </is>
      </c>
      <c r="B10" s="23" t="inlineStr">
        <is>
          <t>MSH-12</t>
        </is>
      </c>
      <c r="C10" s="23" t="inlineStr">
        <is>
          <t>Version ID</t>
        </is>
      </c>
      <c r="D10" s="23" t="inlineStr">
        <is>
          <t>VID</t>
        </is>
      </c>
      <c r="E10" s="23" t="inlineStr">
        <is>
          <t>HL7 version the message claims to follow.</t>
        </is>
      </c>
      <c r="F10" s="23" t="inlineStr">
        <is>
          <t>HL7 table 0104 †</t>
        </is>
      </c>
      <c r="G10" s="23" t="inlineStr">
        <is>
          <t>Used - not mapped</t>
        </is>
      </c>
      <c r="H10" s="23" t="n"/>
      <c r="I10" s="23" t="n"/>
      <c r="J10" s="23" t="n"/>
      <c r="K10" s="23" t="n"/>
      <c r="L10" s="23" t="n"/>
      <c r="M10" s="23" t="inlineStr">
        <is>
          <t>Echoed in ACK MSH-12 (2.5 if empty).</t>
        </is>
      </c>
      <c r="N10" s="23" t="n"/>
      <c r="O10" s="23" t="inlineStr">
        <is>
          <t>Not validated; any version is accepted.</t>
        </is>
      </c>
    </row>
    <row r="11" ht="22.35" customHeight="1" s="13">
      <c r="A11" s="23" t="inlineStr">
        <is>
          <t>SCH</t>
        </is>
      </c>
      <c r="B11" s="23" t="inlineStr">
        <is>
          <t>SCH-1.1</t>
        </is>
      </c>
      <c r="C11" s="23" t="inlineStr">
        <is>
          <t>Placer Appointment ID - Entity Identifier</t>
        </is>
      </c>
      <c r="D11" s="23" t="inlineStr">
        <is>
          <t>EI</t>
        </is>
      </c>
      <c r="E11" s="23" t="inlineStr">
        <is>
          <t>Placer application's ID for the appointment.</t>
        </is>
      </c>
      <c r="F11" s="23" t="n"/>
      <c r="G11" s="23" t="inlineStr">
        <is>
          <t>Mapped</t>
        </is>
      </c>
      <c r="H11" s="23" t="inlineStr">
        <is>
          <t>Appointment</t>
        </is>
      </c>
      <c r="I11" s="23" t="inlineStr">
        <is>
          <t>Appointment.identifier.value</t>
        </is>
      </c>
      <c r="J11" s="23" t="inlineStr">
        <is>
          <t>The portion of the identifier relevant to the user, unique within the system.</t>
        </is>
      </c>
      <c r="K11" s="23" t="n"/>
      <c r="L11" s="23" t="n"/>
      <c r="M11" s="23" t="inlineStr">
        <is>
          <t>Second identifier (after SCH-2). Copied unchanged.</t>
        </is>
      </c>
      <c r="N11" s="23" t="inlineStr">
        <is>
          <t>Matches IG (SCH-1 -&gt; identifier).</t>
        </is>
      </c>
      <c r="O11" s="23" t="inlineStr">
        <is>
          <t>Used as the appointment match key only when SCH-2 is empty. An AE is returned if both are empty.</t>
        </is>
      </c>
    </row>
    <row r="12" ht="22.35" customHeight="1" s="13">
      <c r="A12" s="23" t="inlineStr">
        <is>
          <t>SCH</t>
        </is>
      </c>
      <c r="B12" s="23" t="inlineStr">
        <is>
          <t>SCH-1.2 / SCH-1.3</t>
        </is>
      </c>
      <c r="C12" s="23" t="inlineStr">
        <is>
          <t>Placer Appointment ID - Namespace ID / Universal ID</t>
        </is>
      </c>
      <c r="D12" s="23" t="inlineStr">
        <is>
          <t>EI</t>
        </is>
      </c>
      <c r="E12" s="23" t="inlineStr">
        <is>
          <t>Assigning authority of the placer ID.</t>
        </is>
      </c>
      <c r="F12" s="23" t="n"/>
      <c r="G12" s="23" t="inlineStr">
        <is>
          <t>Mapped (derived)</t>
        </is>
      </c>
      <c r="H12" s="23" t="inlineStr">
        <is>
          <t>Appointment</t>
        </is>
      </c>
      <c r="I12" s="23" t="inlineStr">
        <is>
          <t>Appointment.identifier.system</t>
        </is>
      </c>
      <c r="J12" s="23" t="inlineStr">
        <is>
          <t>Establishes the namespace for the value - a URL that describes a set of values that are unique.</t>
        </is>
      </c>
      <c r="K12" s="23" t="n"/>
      <c r="L12" s="23" t="n"/>
      <c r="M12" s="23" t="inlineStr">
        <is>
          <t>{base}/appointment/placer/{EI.2, else EI.3, else 'default'}</t>
        </is>
      </c>
      <c r="N12" s="23" t="inlineStr">
        <is>
          <t>IG uses its EI-&gt;Identifier datatype map.</t>
        </is>
      </c>
      <c r="O12" s="23" t="inlineStr">
        <is>
          <t>{base} = IDENTIFIER_SYSTEM_BASE (placeholder http://example.org/fhir/sid).</t>
        </is>
      </c>
    </row>
    <row r="13" ht="43.25" customHeight="1" s="13">
      <c r="A13" s="23" t="inlineStr">
        <is>
          <t>SCH</t>
        </is>
      </c>
      <c r="B13" s="23" t="inlineStr">
        <is>
          <t>SCH-1 (presence)</t>
        </is>
      </c>
      <c r="C13" s="23" t="inlineStr">
        <is>
          <t>Placer Appointment ID</t>
        </is>
      </c>
      <c r="D13" s="23" t="inlineStr">
        <is>
          <t>EI</t>
        </is>
      </c>
      <c r="E13" s="23" t="n"/>
      <c r="F13" s="23" t="n"/>
      <c r="G13" s="23" t="inlineStr">
        <is>
          <t>Mapped (derived)</t>
        </is>
      </c>
      <c r="H13" s="23" t="inlineStr">
        <is>
          <t>Appointment</t>
        </is>
      </c>
      <c r="I13" s="23" t="inlineStr">
        <is>
          <t>Appointment.identifier.type</t>
        </is>
      </c>
      <c r="J13" s="23" t="inlineStr">
        <is>
          <t>A coded type for the identifier, used to decide which identifier to use for a purpose.</t>
        </is>
      </c>
      <c r="K13" s="23" t="inlineStr">
        <is>
          <t>Appointment Identifier Type (this IG): v2-0203 FILL, PLAC
http://example.org/fhir/ValueSet/appointment-identifier-type</t>
        </is>
      </c>
      <c r="L13" s="23" t="inlineStr">
        <is>
          <t>required (PoC profile)</t>
        </is>
      </c>
      <c r="M13" s="23" t="inlineStr">
        <is>
          <t>Constant: v2-0203#PLAC.</t>
        </is>
      </c>
      <c r="N13" s="23" t="n"/>
      <c r="O13" s="23" t="n"/>
    </row>
    <row r="14" ht="22.35" customHeight="1" s="13">
      <c r="A14" s="23" t="inlineStr">
        <is>
          <t>SCH</t>
        </is>
      </c>
      <c r="B14" s="23" t="inlineStr">
        <is>
          <t>SCH-2.1</t>
        </is>
      </c>
      <c r="C14" s="23" t="inlineStr">
        <is>
          <t>Filler Appointment ID - Entity Identifier</t>
        </is>
      </c>
      <c r="D14" s="23" t="inlineStr">
        <is>
          <t>EI</t>
        </is>
      </c>
      <c r="E14" s="23" t="inlineStr">
        <is>
          <t>Filler (scheduling) application's ID for the appointment.</t>
        </is>
      </c>
      <c r="F14" s="23" t="n"/>
      <c r="G14" s="23" t="inlineStr">
        <is>
          <t>Mapped</t>
        </is>
      </c>
      <c r="H14" s="23" t="inlineStr">
        <is>
          <t>Appointment</t>
        </is>
      </c>
      <c r="I14" s="23" t="inlineStr">
        <is>
          <t>Appointment.identifier.value</t>
        </is>
      </c>
      <c r="J14" s="23" t="inlineStr">
        <is>
          <t>The portion of the identifier relevant to the user, unique within the system.</t>
        </is>
      </c>
      <c r="K14" s="23" t="n"/>
      <c r="L14" s="23" t="n"/>
      <c r="M14" s="23" t="inlineStr">
        <is>
          <t>First identifier. Copied unchanged.</t>
        </is>
      </c>
      <c r="N14" s="23" t="inlineStr">
        <is>
          <t>Matches IG (SCH-2 -&gt; identifier).</t>
        </is>
      </c>
      <c r="O14" s="23" t="inlineStr">
        <is>
          <t>Primary appointment match key: all S13/S14/S15 messages must carry the same SCH-2 as the S12.</t>
        </is>
      </c>
    </row>
    <row r="15" ht="22.35" customHeight="1" s="13">
      <c r="A15" s="23" t="inlineStr">
        <is>
          <t>SCH</t>
        </is>
      </c>
      <c r="B15" s="23" t="inlineStr">
        <is>
          <t>SCH-2.2 / SCH-2.3</t>
        </is>
      </c>
      <c r="C15" s="23" t="inlineStr">
        <is>
          <t>Filler Appointment ID - Namespace ID / Universal ID</t>
        </is>
      </c>
      <c r="D15" s="23" t="inlineStr">
        <is>
          <t>EI</t>
        </is>
      </c>
      <c r="E15" s="23" t="inlineStr">
        <is>
          <t>Assigning authority of the filler ID.</t>
        </is>
      </c>
      <c r="F15" s="23" t="n"/>
      <c r="G15" s="23" t="inlineStr">
        <is>
          <t>Mapped (derived)</t>
        </is>
      </c>
      <c r="H15" s="23" t="inlineStr">
        <is>
          <t>Appointment</t>
        </is>
      </c>
      <c r="I15" s="23" t="inlineStr">
        <is>
          <t>Appointment.identifier.system</t>
        </is>
      </c>
      <c r="J15" s="23" t="inlineStr">
        <is>
          <t>Establishes the namespace for the value - a URL that describes a set of values that are unique.</t>
        </is>
      </c>
      <c r="K15" s="23" t="n"/>
      <c r="L15" s="23" t="n"/>
      <c r="M15" s="23" t="inlineStr">
        <is>
          <t>{base}/appointment/filler/{EI.2, else EI.3, else 'default'}</t>
        </is>
      </c>
      <c r="N15" s="23" t="n"/>
      <c r="O15" s="23" t="n"/>
    </row>
    <row r="16" ht="43.25" customHeight="1" s="13">
      <c r="A16" s="23" t="inlineStr">
        <is>
          <t>SCH</t>
        </is>
      </c>
      <c r="B16" s="23" t="inlineStr">
        <is>
          <t>SCH-2 (presence)</t>
        </is>
      </c>
      <c r="C16" s="23" t="inlineStr">
        <is>
          <t>Filler Appointment ID</t>
        </is>
      </c>
      <c r="D16" s="23" t="inlineStr">
        <is>
          <t>EI</t>
        </is>
      </c>
      <c r="E16" s="23" t="n"/>
      <c r="F16" s="23" t="n"/>
      <c r="G16" s="23" t="inlineStr">
        <is>
          <t>Mapped (derived)</t>
        </is>
      </c>
      <c r="H16" s="23" t="inlineStr">
        <is>
          <t>Appointment</t>
        </is>
      </c>
      <c r="I16" s="23" t="inlineStr">
        <is>
          <t>Appointment.identifier.type</t>
        </is>
      </c>
      <c r="J16" s="23" t="inlineStr">
        <is>
          <t>A coded type for the identifier, used to decide which identifier to use for a purpose.</t>
        </is>
      </c>
      <c r="K16" s="23" t="inlineStr">
        <is>
          <t>Appointment Identifier Type (this IG): v2-0203 FILL, PLAC
http://example.org/fhir/ValueSet/appointment-identifier-type</t>
        </is>
      </c>
      <c r="L16" s="23" t="inlineStr">
        <is>
          <t>required (PoC profile)</t>
        </is>
      </c>
      <c r="M16" s="23" t="inlineStr">
        <is>
          <t>Constant: v2-0203#FILL.</t>
        </is>
      </c>
      <c r="N16" s="23" t="n"/>
      <c r="O16" s="23" t="n"/>
    </row>
    <row r="17" ht="22.35" customHeight="1" s="13">
      <c r="A17" s="23" t="inlineStr">
        <is>
          <t>SCH</t>
        </is>
      </c>
      <c r="B17" s="23" t="inlineStr">
        <is>
          <t>SCH-3 to SCH-5</t>
        </is>
      </c>
      <c r="C17" s="23" t="inlineStr">
        <is>
          <t>Occurrence Number; Placer Group Number; Schedule ID</t>
        </is>
      </c>
      <c r="D17" s="23" t="inlineStr">
        <is>
          <t>NM; EI; CE</t>
        </is>
      </c>
      <c r="E17" s="23" t="inlineStr">
        <is>
          <t>Repeat occurrence, placer group and schedule identifiers.</t>
        </is>
      </c>
      <c r="F17" s="23" t="n"/>
      <c r="G17" s="23" t="inlineStr">
        <is>
          <t>Not used</t>
        </is>
      </c>
      <c r="H17" s="23" t="n"/>
      <c r="I17" s="23" t="n"/>
      <c r="J17" s="23" t="n"/>
      <c r="K17" s="23" t="n"/>
      <c r="L17" s="23" t="n"/>
      <c r="M17" s="23" t="n"/>
      <c r="N17" s="23" t="n"/>
      <c r="O17" s="23" t="inlineStr">
        <is>
          <t>Not read. Schedule ID would be the natural link to a FHIR Schedule resource, which the PoC doesn't create.</t>
        </is>
      </c>
    </row>
    <row r="18" ht="32.8" customHeight="1" s="13">
      <c r="A18" s="23" t="inlineStr">
        <is>
          <t>SCH</t>
        </is>
      </c>
      <c r="B18" s="23" t="inlineStr">
        <is>
          <t>SCH-6</t>
        </is>
      </c>
      <c r="C18" s="23" t="inlineStr">
        <is>
          <t>Event Reason</t>
        </is>
      </c>
      <c r="D18" s="23" t="inlineStr">
        <is>
          <t>CE</t>
        </is>
      </c>
      <c r="E18" s="23" t="inlineStr">
        <is>
          <t>Reason for the event (e.g. why the appointment was cancelled or moved).</t>
        </is>
      </c>
      <c r="F18" s="23" t="inlineStr">
        <is>
          <t>User-defined / local</t>
        </is>
      </c>
      <c r="G18" s="23" t="inlineStr">
        <is>
          <t>Mapped</t>
        </is>
      </c>
      <c r="H18" s="23" t="inlineStr">
        <is>
          <t>Appointment</t>
        </is>
      </c>
      <c r="I18" s="23" t="inlineStr">
        <is>
          <t>Appointment.cancelationReason</t>
        </is>
      </c>
      <c r="J18" s="23" t="inlineStr">
        <is>
          <t>Coded reason the appointment was cancelled, for reporting, billing or follow-up.</t>
        </is>
      </c>
      <c r="K18" s="23" t="inlineStr">
        <is>
          <t>Appointment cancellation reason
http://hl7.org/fhir/ValueSet/appointment-cancellation-reason</t>
        </is>
      </c>
      <c r="L18" s="23" t="inlineStr">
        <is>
          <t>example</t>
        </is>
      </c>
      <c r="M18" s="23" t="inlineStr">
        <is>
          <t>Only when the resulting status is 'cancelled'. CE -&gt; CodeableConcept (see Code Mappings sheet).</t>
        </is>
      </c>
      <c r="N18" s="23" t="inlineStr">
        <is>
          <t>DEVIATION: IG has no target for SCH-6.</t>
        </is>
      </c>
      <c r="O18" s="23" t="inlineStr">
        <is>
          <t>Ignored for S12/S13/S14 (e.g. the reschedule reason in the S13 sample is not stored).</t>
        </is>
      </c>
    </row>
    <row r="19" ht="53.7" customHeight="1" s="13">
      <c r="A19" s="23" t="inlineStr">
        <is>
          <t>SCH</t>
        </is>
      </c>
      <c r="B19" s="23" t="inlineStr">
        <is>
          <t>SCH-7</t>
        </is>
      </c>
      <c r="C19" s="23" t="inlineStr">
        <is>
          <t>Appointment Reason</t>
        </is>
      </c>
      <c r="D19" s="23" t="inlineStr">
        <is>
          <t>CE</t>
        </is>
      </c>
      <c r="E19" s="23" t="inlineStr">
        <is>
          <t>Reason the appointment is booked, e.g. routine, walk-in, follow-up.</t>
        </is>
      </c>
      <c r="F19" s="23" t="inlineStr">
        <is>
          <t>HL7 table 0276</t>
        </is>
      </c>
      <c r="G19" s="23" t="inlineStr">
        <is>
          <t>Mapped</t>
        </is>
      </c>
      <c r="H19" s="23" t="inlineStr">
        <is>
          <t>Appointment</t>
        </is>
      </c>
      <c r="I19" s="23" t="inlineStr">
        <is>
          <t>Appointment.appointmentType</t>
        </is>
      </c>
      <c r="J19" s="23" t="inlineStr">
        <is>
          <t>The style of appointment or patient booked in the slot (not the service type).</t>
        </is>
      </c>
      <c r="K19" s="23" t="inlineStr">
        <is>
          <t>v2 Appointment Reason Codes (table 0276)
http://terminology.hl7.org/ValueSet/v2-0276</t>
        </is>
      </c>
      <c r="L19" s="23" t="inlineStr">
        <is>
          <t>preferred</t>
        </is>
      </c>
      <c r="M19" s="23" t="inlineStr">
        <is>
          <t>CE -&gt; CodeableConcept. Coding.system = v2-0276 only when CE.3 = 'HL70276'; other CE.3 values get a placeholder system.</t>
        </is>
      </c>
      <c r="N19" s="23" t="inlineStr">
        <is>
          <t>DEVIATION: IG maps SCH-7 -&gt; reasonCode (when CE.3 = HL70276) and SCH-8 -&gt; appointmentType. IG comments that the v2/FHIR table reference here is a known problem.</t>
        </is>
      </c>
      <c r="O19" s="23" t="inlineStr">
        <is>
          <t>Chosen because FHIR R4 binds appointmentType to v2 table 0276, the table SCH-7 uses. Review with ISSUE-03.</t>
        </is>
      </c>
    </row>
    <row r="20" ht="22.35" customHeight="1" s="13">
      <c r="A20" s="23" t="inlineStr">
        <is>
          <t>SCH</t>
        </is>
      </c>
      <c r="B20" s="23" t="inlineStr">
        <is>
          <t>SCH-8</t>
        </is>
      </c>
      <c r="C20" s="23" t="inlineStr">
        <is>
          <t>Appointment Type</t>
        </is>
      </c>
      <c r="D20" s="23" t="inlineStr">
        <is>
          <t>CE</t>
        </is>
      </c>
      <c r="E20" s="23" t="inlineStr">
        <is>
          <t>Type of booking, e.g. normal, tentative, complete.</t>
        </is>
      </c>
      <c r="F20" s="23" t="inlineStr">
        <is>
          <t>HL7 table 0277</t>
        </is>
      </c>
      <c r="G20" s="23" t="inlineStr">
        <is>
          <t>Not used</t>
        </is>
      </c>
      <c r="H20" s="23" t="n"/>
      <c r="I20" s="23" t="n"/>
      <c r="J20" s="23" t="n"/>
      <c r="K20" s="23" t="n"/>
      <c r="L20" s="23" t="n"/>
      <c r="M20" s="23" t="n"/>
      <c r="N20" s="23" t="inlineStr">
        <is>
          <t>DEVIATION: IG maps SCH-8 -&gt; appointmentType (when CE.3 = HL70277).</t>
        </is>
      </c>
      <c r="O20" s="23" t="inlineStr">
        <is>
          <t>Not read. See ISSUE-03.</t>
        </is>
      </c>
    </row>
    <row r="21" ht="32.8" customHeight="1" s="13">
      <c r="A21" s="23" t="inlineStr">
        <is>
          <t>SCH</t>
        </is>
      </c>
      <c r="B21" s="23" t="inlineStr">
        <is>
          <t>SCH-9</t>
        </is>
      </c>
      <c r="C21" s="23" t="inlineStr">
        <is>
          <t>Appointment Duration</t>
        </is>
      </c>
      <c r="D21" s="23" t="inlineStr">
        <is>
          <t>NM</t>
        </is>
      </c>
      <c r="E21" s="23" t="inlineStr">
        <is>
          <t>Duration of the appointment, in SCH-10 units.</t>
        </is>
      </c>
      <c r="F21" s="23" t="n"/>
      <c r="G21" s="23" t="inlineStr">
        <is>
          <t>Mapped (derived)</t>
        </is>
      </c>
      <c r="H21" s="23" t="inlineStr">
        <is>
          <t>Appointment</t>
        </is>
      </c>
      <c r="I21" s="23" t="inlineStr">
        <is>
          <t>Appointment.end</t>
        </is>
      </c>
      <c r="J21" s="23" t="inlineStr">
        <is>
          <t>Date/time the appointment is scheduled to conclude.</t>
        </is>
      </c>
      <c r="K21" s="23" t="n"/>
      <c r="L21" s="23" t="n"/>
      <c r="M21" s="23" t="inlineStr">
        <is>
          <t>If SCH-11.5 is empty: end = start + SCH-9 (in SCH-10 units).</t>
        </is>
      </c>
      <c r="N21" s="23" t="inlineStr">
        <is>
          <t>DEVIATION: IG maps SCH-9 -&gt; minutesDuration when SCH-10 is minutes.</t>
        </is>
      </c>
      <c r="O21" s="23" t="inlineStr">
        <is>
          <t>Non-numeric, negative or infinite value -&gt; AE (ERR-3 102). minutesDuration is always computed from start/end, not taken from SCH-9.</t>
        </is>
      </c>
    </row>
    <row r="22" ht="32.8" customHeight="1" s="13">
      <c r="A22" s="23" t="inlineStr">
        <is>
          <t>SCH</t>
        </is>
      </c>
      <c r="B22" s="23" t="inlineStr">
        <is>
          <t>SCH-10</t>
        </is>
      </c>
      <c r="C22" s="23" t="inlineStr">
        <is>
          <t>Appointment Duration Units</t>
        </is>
      </c>
      <c r="D22" s="23" t="inlineStr">
        <is>
          <t>CE</t>
        </is>
      </c>
      <c r="E22" s="23" t="inlineStr">
        <is>
          <t>Units for SCH-9.</t>
        </is>
      </c>
      <c r="F22" s="23" t="inlineStr">
        <is>
          <t>Units of measure (e.g. ISO+) †</t>
        </is>
      </c>
      <c r="G22" s="23" t="inlineStr">
        <is>
          <t>Used - not mapped</t>
        </is>
      </c>
      <c r="H22" s="23" t="n"/>
      <c r="I22" s="23" t="n"/>
      <c r="J22" s="23" t="n"/>
      <c r="K22" s="23" t="n"/>
      <c r="L22" s="23" t="n"/>
      <c r="M22" s="23" t="inlineStr">
        <is>
          <t>CE.1 read case-insensitively: s/sec/second(s), min/mins/minute(s), h/hr/hrs/hour(s), d/day(s). Empty -&gt; minutes (warning). Anything else -&gt; AE.</t>
        </is>
      </c>
      <c r="N22" s="23" t="n"/>
      <c r="O22" s="23" t="inlineStr">
        <is>
          <t>Shared rule with AIS-8, AIG-12, AIL-10, AIP-10.</t>
        </is>
      </c>
    </row>
    <row r="23" ht="43.25" customHeight="1" s="13">
      <c r="A23" s="23" t="inlineStr">
        <is>
          <t>SCH</t>
        </is>
      </c>
      <c r="B23" s="23" t="inlineStr">
        <is>
          <t>SCH-11.4</t>
        </is>
      </c>
      <c r="C23" s="23" t="inlineStr">
        <is>
          <t>Appointment Timing Quantity - start date/time</t>
        </is>
      </c>
      <c r="D23" s="23" t="inlineStr">
        <is>
          <t>TQ (TS)</t>
        </is>
      </c>
      <c r="E23" s="23" t="inlineStr">
        <is>
          <t>Scheduled start.</t>
        </is>
      </c>
      <c r="F23" s="23" t="n"/>
      <c r="G23" s="23" t="inlineStr">
        <is>
          <t>Mapped</t>
        </is>
      </c>
      <c r="H23" s="23" t="inlineStr">
        <is>
          <t>Appointment</t>
        </is>
      </c>
      <c r="I23" s="23" t="inlineStr">
        <is>
          <t>Appointment.start</t>
        </is>
      </c>
      <c r="J23" s="23" t="inlineStr">
        <is>
          <t>Date/time the appointment is scheduled to begin.</t>
        </is>
      </c>
      <c r="K23" s="23" t="n"/>
      <c r="L23" s="23" t="n"/>
      <c r="M23" s="23" t="inlineStr">
        <is>
          <t>TS.1 (first sub-component) parsed as DTM; offset kept, else DEFAULT_TZ.</t>
        </is>
      </c>
      <c r="N23" s="23" t="inlineStr">
        <is>
          <t>IG maps SCH-11 via its TQ-&gt;Appointment map.</t>
        </is>
      </c>
      <c r="O23" s="23" t="inlineStr">
        <is>
          <t>If empty, start = earliest AIS-4/AIG-8/AIL-6/AIP-6. If no start can be found and status needs one (FHIR R4 invariant app-3) -&gt; AE. TQ1 segments, also allowed in SIU_S12, are not read.</t>
        </is>
      </c>
    </row>
    <row r="24" ht="22.35" customHeight="1" s="13">
      <c r="A24" s="23" t="inlineStr">
        <is>
          <t>SCH</t>
        </is>
      </c>
      <c r="B24" s="23" t="inlineStr">
        <is>
          <t>SCH-11.5</t>
        </is>
      </c>
      <c r="C24" s="23" t="inlineStr">
        <is>
          <t>Appointment Timing Quantity - end date/time</t>
        </is>
      </c>
      <c r="D24" s="23" t="inlineStr">
        <is>
          <t>TQ (TS)</t>
        </is>
      </c>
      <c r="E24" s="23" t="inlineStr">
        <is>
          <t>Scheduled end.</t>
        </is>
      </c>
      <c r="F24" s="23" t="n"/>
      <c r="G24" s="23" t="inlineStr">
        <is>
          <t>Mapped</t>
        </is>
      </c>
      <c r="H24" s="23" t="inlineStr">
        <is>
          <t>Appointment</t>
        </is>
      </c>
      <c r="I24" s="23" t="inlineStr">
        <is>
          <t>Appointment.end</t>
        </is>
      </c>
      <c r="J24" s="23" t="inlineStr">
        <is>
          <t>Date/time the appointment is scheduled to conclude.</t>
        </is>
      </c>
      <c r="K24" s="23" t="n"/>
      <c r="L24" s="23" t="n"/>
      <c r="M24" s="23" t="inlineStr">
        <is>
          <t>As SCH-11.4.</t>
        </is>
      </c>
      <c r="N24" s="23" t="n"/>
      <c r="O24" s="23" t="inlineStr">
        <is>
          <t>Fallbacks in order: start + SCH-9/10, then latest resource-segment start + duration. End before start -&gt; AE.</t>
        </is>
      </c>
    </row>
    <row r="25" ht="22.35" customHeight="1" s="13">
      <c r="A25" s="23" t="inlineStr">
        <is>
          <t>SCH</t>
        </is>
      </c>
      <c r="B25" s="23" t="inlineStr">
        <is>
          <t>(computed)</t>
        </is>
      </c>
      <c r="C25" s="23" t="inlineStr">
        <is>
          <t>Start/end</t>
        </is>
      </c>
      <c r="D25" s="23" t="n"/>
      <c r="E25" s="23" t="n"/>
      <c r="F25" s="23" t="n"/>
      <c r="G25" s="23" t="inlineStr">
        <is>
          <t>Mapped (derived)</t>
        </is>
      </c>
      <c r="H25" s="23" t="inlineStr">
        <is>
          <t>Appointment</t>
        </is>
      </c>
      <c r="I25" s="23" t="inlineStr">
        <is>
          <t>Appointment.minutesDuration</t>
        </is>
      </c>
      <c r="J25" s="23" t="inlineStr">
        <is>
          <t>Length of the appointment in minutes; may differ from the start-to-end span.</t>
        </is>
      </c>
      <c r="K25" s="23" t="n"/>
      <c r="L25" s="23" t="n"/>
      <c r="M25" s="23" t="inlineStr">
        <is>
          <t>Whole minutes between start and end.</t>
        </is>
      </c>
      <c r="N25" s="23" t="inlineStr">
        <is>
          <t>IG derives it from SCH-9 instead.</t>
        </is>
      </c>
      <c r="O25" s="23" t="n"/>
    </row>
    <row r="26" ht="32.8" customHeight="1" s="13">
      <c r="A26" s="23" t="inlineStr">
        <is>
          <t>SCH</t>
        </is>
      </c>
      <c r="B26" s="23" t="inlineStr">
        <is>
          <t>SCH-12 to SCH-22</t>
        </is>
      </c>
      <c r="C26" s="23" t="inlineStr">
        <is>
          <t>Placer / filler contact person, phone, address, location; entered-by person, phone, location</t>
        </is>
      </c>
      <c r="D26" s="23" t="inlineStr">
        <is>
          <t>XCN; XTN; XAD; PL</t>
        </is>
      </c>
      <c r="E26" s="23" t="inlineStr">
        <is>
          <t>Contact and data-entry details.</t>
        </is>
      </c>
      <c r="F26" s="23" t="n"/>
      <c r="G26" s="23" t="inlineStr">
        <is>
          <t>Not used</t>
        </is>
      </c>
      <c r="H26" s="23" t="n"/>
      <c r="I26" s="23" t="n"/>
      <c r="J26" s="23" t="n"/>
      <c r="K26" s="23" t="n"/>
      <c r="L26" s="23" t="n"/>
      <c r="M26" s="23" t="n"/>
      <c r="N26" s="23" t="inlineStr">
        <is>
          <t>IG maps SCH-12, SCH-16 and SCH-20 to additional participants (Practitioner). Not implemented.</t>
        </is>
      </c>
      <c r="O26" s="23" t="inlineStr">
        <is>
          <t>Not read.</t>
        </is>
      </c>
    </row>
    <row r="27" ht="22.35" customHeight="1" s="13">
      <c r="A27" s="23" t="inlineStr">
        <is>
          <t>SCH</t>
        </is>
      </c>
      <c r="B27" s="23" t="inlineStr">
        <is>
          <t>SCH-23 / SCH-24</t>
        </is>
      </c>
      <c r="C27" s="23" t="inlineStr">
        <is>
          <t>Parent Placer / Filler Appointment ID</t>
        </is>
      </c>
      <c r="D27" s="23" t="inlineStr">
        <is>
          <t>EI</t>
        </is>
      </c>
      <c r="E27" s="23" t="inlineStr">
        <is>
          <t>Parent appointment for recurring or grouped appointments.</t>
        </is>
      </c>
      <c r="F27" s="23" t="n"/>
      <c r="G27" s="23" t="inlineStr">
        <is>
          <t>Not used</t>
        </is>
      </c>
      <c r="H27" s="23" t="n"/>
      <c r="I27" s="23" t="n"/>
      <c r="J27" s="23" t="n"/>
      <c r="K27" s="23" t="n"/>
      <c r="L27" s="23" t="n"/>
      <c r="M27" s="23" t="n"/>
      <c r="N27" s="23" t="n"/>
      <c r="O27" s="23" t="inlineStr">
        <is>
          <t>Not read. Recurring appointment series aren't supported.</t>
        </is>
      </c>
    </row>
    <row r="28" ht="43.25" customHeight="1" s="13">
      <c r="A28" s="23" t="inlineStr">
        <is>
          <t>SCH</t>
        </is>
      </c>
      <c r="B28" s="23" t="inlineStr">
        <is>
          <t>SCH-25</t>
        </is>
      </c>
      <c r="C28" s="23" t="inlineStr">
        <is>
          <t>Filler Status Code</t>
        </is>
      </c>
      <c r="D28" s="23" t="inlineStr">
        <is>
          <t>CE</t>
        </is>
      </c>
      <c r="E28" s="23" t="inlineStr">
        <is>
          <t>Status of the appointment in the filler (scheduling) system.</t>
        </is>
      </c>
      <c r="F28" s="23" t="inlineStr">
        <is>
          <t>HL7 table 0278</t>
        </is>
      </c>
      <c r="G28" s="23" t="inlineStr">
        <is>
          <t>Mapped</t>
        </is>
      </c>
      <c r="H28" s="23" t="inlineStr">
        <is>
          <t>Appointment</t>
        </is>
      </c>
      <c r="I28" s="23" t="inlineStr">
        <is>
          <t>Appointment.status</t>
        </is>
      </c>
      <c r="J28" s="23" t="inlineStr">
        <is>
          <t>The overall shared status of the appointment, separate from each participant's status. 1..1.</t>
        </is>
      </c>
      <c r="K28" s="23" t="inlineStr">
        <is>
          <t>AppointmentStatus
http://hl7.org/fhir/ValueSet/appointmentstatus</t>
        </is>
      </c>
      <c r="L28" s="23" t="inlineStr">
        <is>
          <t>required</t>
        </is>
      </c>
      <c r="M28" s="23" t="inlineStr">
        <is>
          <t>CE.1 matched case-insensitively (see Code Mappings sheet). Event rules: S15 -&gt; always cancelled. S12 -&gt; mapped value, else booked. S13/S14 -&gt; mapped value, else existing status kept (booked if new).</t>
        </is>
      </c>
      <c r="N28" s="23" t="inlineStr">
        <is>
          <t>Matches IG target. Several code-level differences: see Code Mappings sheet.</t>
        </is>
      </c>
      <c r="O28" s="23" t="inlineStr">
        <is>
          <t>Both 'Discontinued' (v2.3+) and 'DC' (v2.9+) map to cancelled (ISSUE-01, fixed). Unrecognised codes log a warning and fall back to the event rule.</t>
        </is>
      </c>
    </row>
    <row r="29" ht="32.8" customHeight="1" s="13">
      <c r="A29" s="23" t="inlineStr">
        <is>
          <t>SCH</t>
        </is>
      </c>
      <c r="B29" s="23" t="inlineStr">
        <is>
          <t>SCH-26 / SCH-27</t>
        </is>
      </c>
      <c r="C29" s="23" t="inlineStr">
        <is>
          <t>Placer / Filler Order Number</t>
        </is>
      </c>
      <c r="D29" s="23" t="inlineStr">
        <is>
          <t>EI</t>
        </is>
      </c>
      <c r="E29" s="23" t="inlineStr">
        <is>
          <t>Order that the appointment fulfils.</t>
        </is>
      </c>
      <c r="F29" s="23" t="n"/>
      <c r="G29" s="23" t="inlineStr">
        <is>
          <t>Not used</t>
        </is>
      </c>
      <c r="H29" s="23" t="n"/>
      <c r="I29" s="23" t="n"/>
      <c r="J29" s="23" t="n"/>
      <c r="K29" s="23" t="n"/>
      <c r="L29" s="23" t="n"/>
      <c r="M29" s="23" t="n"/>
      <c r="N29" s="23" t="inlineStr">
        <is>
          <t>IG maps both to Appointment.basedOn(ServiceRequest). Not implemented.</t>
        </is>
      </c>
      <c r="O29" s="23" t="n"/>
    </row>
    <row r="30" ht="22.35" customHeight="1" s="13">
      <c r="A30" s="23" t="inlineStr">
        <is>
          <t>TQ1</t>
        </is>
      </c>
      <c r="B30" s="23" t="inlineStr">
        <is>
          <t>TQ1 (segment)</t>
        </is>
      </c>
      <c r="C30" s="23" t="inlineStr">
        <is>
          <t>Timing/Quantity</t>
        </is>
      </c>
      <c r="D30" s="23" t="n"/>
      <c r="E30" s="23" t="inlineStr">
        <is>
          <t>v2.5 timing segment, optional in SIU_S12.</t>
        </is>
      </c>
      <c r="F30" s="23" t="n"/>
      <c r="G30" s="23" t="inlineStr">
        <is>
          <t>Not used</t>
        </is>
      </c>
      <c r="H30" s="23" t="n"/>
      <c r="I30" s="23" t="n"/>
      <c r="J30" s="23" t="n"/>
      <c r="K30" s="23" t="n"/>
      <c r="L30" s="23" t="n"/>
      <c r="M30" s="23" t="n"/>
      <c r="N30" s="23" t="n"/>
      <c r="O30" s="23" t="inlineStr">
        <is>
          <t>Not read. Timing must be in SCH-11 or the resource segments.</t>
        </is>
      </c>
    </row>
    <row r="31" ht="22.35" customHeight="1" s="13">
      <c r="A31" s="23" t="inlineStr">
        <is>
          <t>NTE</t>
        </is>
      </c>
      <c r="B31" s="23" t="inlineStr">
        <is>
          <t>NTE-3</t>
        </is>
      </c>
      <c r="C31" s="23" t="inlineStr">
        <is>
          <t>Comment</t>
        </is>
      </c>
      <c r="D31" s="23" t="inlineStr">
        <is>
          <t>FT</t>
        </is>
      </c>
      <c r="E31" s="23" t="inlineStr">
        <is>
          <t>Free-text note.</t>
        </is>
      </c>
      <c r="F31" s="23" t="n"/>
      <c r="G31" s="23" t="inlineStr">
        <is>
          <t>Mapped</t>
        </is>
      </c>
      <c r="H31" s="23" t="inlineStr">
        <is>
          <t>Appointment</t>
        </is>
      </c>
      <c r="I31" s="23" t="inlineStr">
        <is>
          <t>Appointment.comment</t>
        </is>
      </c>
      <c r="J31" s="23" t="inlineStr">
        <is>
          <t>Internal, supplementary notes to help facilitate the appointment.</t>
        </is>
      </c>
      <c r="K31" s="23" t="n"/>
      <c r="L31" s="23" t="n"/>
      <c r="M31" s="23" t="inlineStr">
        <is>
          <t>Every NTE-3 in the message joined with newlines, in message order. Formatting escapes are not interpreted.</t>
        </is>
      </c>
      <c r="N31" s="23" t="inlineStr">
        <is>
          <t>IG maps message-level and service-group NTE only.</t>
        </is>
      </c>
      <c r="O31" s="23" t="inlineStr">
        <is>
          <t>Also includes NTEs under AIG/AIL/AIP groups, which the IG leaves unmapped. NTE-4 (comment type) is not read.</t>
        </is>
      </c>
    </row>
    <row r="32" ht="22.35" customHeight="1" s="13">
      <c r="A32" s="23" t="inlineStr">
        <is>
          <t>PID</t>
        </is>
      </c>
      <c r="B32" s="23" t="inlineStr">
        <is>
          <t>PID-3.1</t>
        </is>
      </c>
      <c r="C32" s="23" t="inlineStr">
        <is>
          <t>Patient Identifier List - ID Number</t>
        </is>
      </c>
      <c r="D32" s="23" t="inlineStr">
        <is>
          <t>CX</t>
        </is>
      </c>
      <c r="E32" s="23" t="inlineStr">
        <is>
          <t>Patient identifier (MRN, Medicare number etc.).</t>
        </is>
      </c>
      <c r="F32" s="23" t="n"/>
      <c r="G32" s="23" t="inlineStr">
        <is>
          <t>Mapped</t>
        </is>
      </c>
      <c r="H32" s="23" t="inlineStr">
        <is>
          <t>Patient</t>
        </is>
      </c>
      <c r="I32" s="23" t="inlineStr">
        <is>
          <t>Patient.identifier.value</t>
        </is>
      </c>
      <c r="J32" s="23" t="inlineStr">
        <is>
          <t>An identifier for this patient.</t>
        </is>
      </c>
      <c r="K32" s="23" t="n"/>
      <c r="L32" s="23" t="n"/>
      <c r="M32" s="23" t="inlineStr">
        <is>
          <t>One Patient.identifier per PID-3 repetition with a value.</t>
        </is>
      </c>
      <c r="N32" s="23" t="inlineStr">
        <is>
          <t>IG maps PID-3 -&gt; Patient.identifier.</t>
        </is>
      </c>
      <c r="O32" s="23" t="inlineStr">
        <is>
          <t>The FIRST repetition is the patient match key. Existing Patient with that identifier: used unchanged (default PATIENT_PRACTITIONER_WRITE_MODE=create-only); otherwise created from the SIU (POST + If-None-Exist). Set upsert to overwrite from the SIU instead. Empty PID-3 -&gt; AE.</t>
        </is>
      </c>
    </row>
    <row r="33" ht="22.35" customHeight="1" s="13">
      <c r="A33" s="23" t="inlineStr">
        <is>
          <t>PID</t>
        </is>
      </c>
      <c r="B33" s="23" t="inlineStr">
        <is>
          <t>PID-3.4</t>
        </is>
      </c>
      <c r="C33" s="23" t="inlineStr">
        <is>
          <t>Patient Identifier List - Assigning Authority</t>
        </is>
      </c>
      <c r="D33" s="23" t="inlineStr">
        <is>
          <t>CX (HD)</t>
        </is>
      </c>
      <c r="E33" s="23" t="inlineStr">
        <is>
          <t>Organisation that issued the identifier.</t>
        </is>
      </c>
      <c r="F33" s="23" t="n"/>
      <c r="G33" s="23" t="inlineStr">
        <is>
          <t>Mapped (derived)</t>
        </is>
      </c>
      <c r="H33" s="23" t="inlineStr">
        <is>
          <t>Patient</t>
        </is>
      </c>
      <c r="I33" s="23" t="inlineStr">
        <is>
          <t>Patient.identifier.system</t>
        </is>
      </c>
      <c r="J33" s="23" t="inlineStr">
        <is>
          <t>An identifier for this patient.</t>
        </is>
      </c>
      <c r="K33" s="23" t="n"/>
      <c r="L33" s="23" t="n"/>
      <c r="M33" s="23" t="inlineStr">
        <is>
          <t>{base}/patient/{CX.4.1}/{CX.5 or 'id'}. Empty authority -&gt; 'default'.</t>
        </is>
      </c>
      <c r="N33" s="23" t="n"/>
      <c r="O33" s="23" t="inlineStr">
        <is>
          <t>Placeholder systems. AU deployments should use agreed systems (e.g. IHI, Medicare, local MRN namespaces).</t>
        </is>
      </c>
    </row>
    <row r="34" ht="22.35" customHeight="1" s="13">
      <c r="A34" s="23" t="inlineStr">
        <is>
          <t>PID</t>
        </is>
      </c>
      <c r="B34" s="23" t="inlineStr">
        <is>
          <t>PID-3.5</t>
        </is>
      </c>
      <c r="C34" s="23" t="inlineStr">
        <is>
          <t>Patient Identifier List - Identifier Type Code</t>
        </is>
      </c>
      <c r="D34" s="23" t="inlineStr">
        <is>
          <t>CX</t>
        </is>
      </c>
      <c r="E34" s="23" t="inlineStr">
        <is>
          <t>Kind of identifier, e.g. MR, MC.</t>
        </is>
      </c>
      <c r="F34" s="23" t="inlineStr">
        <is>
          <t>HL7 table 0203</t>
        </is>
      </c>
      <c r="G34" s="23" t="inlineStr">
        <is>
          <t>Mapped</t>
        </is>
      </c>
      <c r="H34" s="23" t="inlineStr">
        <is>
          <t>Patient</t>
        </is>
      </c>
      <c r="I34" s="23" t="inlineStr">
        <is>
          <t>Patient.identifier.type</t>
        </is>
      </c>
      <c r="J34" s="23" t="inlineStr">
        <is>
          <t>A coded type for the identifier, used to decide which identifier to use for a purpose.</t>
        </is>
      </c>
      <c r="K34" s="23" t="inlineStr">
        <is>
          <t>IdentifierType
http://hl7.org/fhir/ValueSet/identifier-type</t>
        </is>
      </c>
      <c r="L34" s="23" t="inlineStr">
        <is>
          <t>extensible</t>
        </is>
      </c>
      <c r="M34" s="23" t="inlineStr">
        <is>
          <t>Coding: system v2-0203, code = CX.5 unchanged. Also used in identifier.system.</t>
        </is>
      </c>
      <c r="N34" s="23" t="n"/>
      <c r="O34" s="23" t="inlineStr">
        <is>
          <t>Codes aren't validated against table 0203.</t>
        </is>
      </c>
    </row>
    <row r="35" ht="22.35" customHeight="1" s="13">
      <c r="A35" s="23" t="inlineStr">
        <is>
          <t>PID</t>
        </is>
      </c>
      <c r="B35" s="23" t="inlineStr">
        <is>
          <t>PID-5.1</t>
        </is>
      </c>
      <c r="C35" s="23" t="inlineStr">
        <is>
          <t>Patient Name - Family Name</t>
        </is>
      </c>
      <c r="D35" s="23" t="inlineStr">
        <is>
          <t>XPN (FN)</t>
        </is>
      </c>
      <c r="E35" s="23" t="inlineStr">
        <is>
          <t>Surname.</t>
        </is>
      </c>
      <c r="F35" s="23" t="n"/>
      <c r="G35" s="23" t="inlineStr">
        <is>
          <t>Mapped</t>
        </is>
      </c>
      <c r="H35" s="23" t="inlineStr">
        <is>
          <t>Patient</t>
        </is>
      </c>
      <c r="I35" s="23" t="inlineStr">
        <is>
          <t>Patient.name.family</t>
        </is>
      </c>
      <c r="J35" s="23" t="inlineStr">
        <is>
          <t>The part of a name that links to the genealogy.</t>
        </is>
      </c>
      <c r="K35" s="23" t="n"/>
      <c r="L35" s="23" t="n"/>
      <c r="M35" s="23" t="inlineStr">
        <is>
          <t>FN.1 (surname). One HumanName per PID-5 repetition.</t>
        </is>
      </c>
      <c r="N35" s="23" t="n"/>
      <c r="O35" s="23" t="n"/>
    </row>
    <row r="36" ht="22.35" customHeight="1" s="13">
      <c r="A36" s="23" t="inlineStr">
        <is>
          <t>PID</t>
        </is>
      </c>
      <c r="B36" s="23" t="inlineStr">
        <is>
          <t>PID-5.2 / PID-5.3</t>
        </is>
      </c>
      <c r="C36" s="23" t="inlineStr">
        <is>
          <t>Patient Name - Given Name / Second and Further Given Names</t>
        </is>
      </c>
      <c r="D36" s="23" t="inlineStr">
        <is>
          <t>XPN</t>
        </is>
      </c>
      <c r="E36" s="23" t="inlineStr">
        <is>
          <t>First and middle names.</t>
        </is>
      </c>
      <c r="F36" s="23" t="n"/>
      <c r="G36" s="23" t="inlineStr">
        <is>
          <t>Mapped</t>
        </is>
      </c>
      <c r="H36" s="23" t="inlineStr">
        <is>
          <t>Patient</t>
        </is>
      </c>
      <c r="I36" s="23" t="inlineStr">
        <is>
          <t>Patient.name.given</t>
        </is>
      </c>
      <c r="J36" s="23" t="inlineStr">
        <is>
          <t>Given name.</t>
        </is>
      </c>
      <c r="K36" s="23" t="n"/>
      <c r="L36" s="23" t="n"/>
      <c r="M36" s="23" t="inlineStr">
        <is>
          <t>XPN.2 then XPN.3, in that order.</t>
        </is>
      </c>
      <c r="N36" s="23" t="n"/>
      <c r="O36" s="23" t="inlineStr">
        <is>
          <t>Also used, with the family name, for the patient participant's actor.display ('given family').</t>
        </is>
      </c>
    </row>
    <row r="37" ht="22.35" customHeight="1" s="13">
      <c r="A37" s="23" t="inlineStr">
        <is>
          <t>PID</t>
        </is>
      </c>
      <c r="B37" s="23" t="inlineStr">
        <is>
          <t>PID-5.4</t>
        </is>
      </c>
      <c r="C37" s="23" t="inlineStr">
        <is>
          <t>Patient Name - Suffix</t>
        </is>
      </c>
      <c r="D37" s="23" t="inlineStr">
        <is>
          <t>XPN</t>
        </is>
      </c>
      <c r="E37" s="23" t="inlineStr">
        <is>
          <t>e.g. JR, III.</t>
        </is>
      </c>
      <c r="F37" s="23" t="n"/>
      <c r="G37" s="23" t="inlineStr">
        <is>
          <t>Mapped</t>
        </is>
      </c>
      <c r="H37" s="23" t="inlineStr">
        <is>
          <t>Patient</t>
        </is>
      </c>
      <c r="I37" s="23" t="inlineStr">
        <is>
          <t>Patient.name.suffix</t>
        </is>
      </c>
      <c r="J37" s="23" t="inlineStr">
        <is>
          <t>Part of the name acquired as a title (academic, legal, employment, nobility etc.), after the name.</t>
        </is>
      </c>
      <c r="K37" s="23" t="n"/>
      <c r="L37" s="23" t="n"/>
      <c r="M37" s="23" t="inlineStr">
        <is>
          <t>Copied unchanged.</t>
        </is>
      </c>
      <c r="N37" s="23" t="n"/>
      <c r="O37" s="23" t="n"/>
    </row>
    <row r="38" ht="22.35" customHeight="1" s="13">
      <c r="A38" s="23" t="inlineStr">
        <is>
          <t>PID</t>
        </is>
      </c>
      <c r="B38" s="23" t="inlineStr">
        <is>
          <t>PID-5.5</t>
        </is>
      </c>
      <c r="C38" s="23" t="inlineStr">
        <is>
          <t>Patient Name - Prefix</t>
        </is>
      </c>
      <c r="D38" s="23" t="inlineStr">
        <is>
          <t>XPN</t>
        </is>
      </c>
      <c r="E38" s="23" t="inlineStr">
        <is>
          <t>e.g. DR, MS.</t>
        </is>
      </c>
      <c r="F38" s="23" t="n"/>
      <c r="G38" s="23" t="inlineStr">
        <is>
          <t>Mapped</t>
        </is>
      </c>
      <c r="H38" s="23" t="inlineStr">
        <is>
          <t>Patient</t>
        </is>
      </c>
      <c r="I38" s="23" t="inlineStr">
        <is>
          <t>Patient.name.prefix</t>
        </is>
      </c>
      <c r="J38" s="23" t="inlineStr">
        <is>
          <t>Part of the name acquired as a title (academic, legal, employment, nobility etc.), before the name.</t>
        </is>
      </c>
      <c r="K38" s="23" t="n"/>
      <c r="L38" s="23" t="n"/>
      <c r="M38" s="23" t="inlineStr">
        <is>
          <t>Copied unchanged.</t>
        </is>
      </c>
      <c r="N38" s="23" t="n"/>
      <c r="O38" s="23" t="n"/>
    </row>
    <row r="39" ht="22.35" customHeight="1" s="13">
      <c r="A39" s="23" t="inlineStr">
        <is>
          <t>PID</t>
        </is>
      </c>
      <c r="B39" s="23" t="inlineStr">
        <is>
          <t>PID-5.7</t>
        </is>
      </c>
      <c r="C39" s="23" t="inlineStr">
        <is>
          <t>Patient Name - Name Type Code</t>
        </is>
      </c>
      <c r="D39" s="23" t="inlineStr">
        <is>
          <t>XPN</t>
        </is>
      </c>
      <c r="E39" s="23" t="inlineStr">
        <is>
          <t>Kind of name, e.g. L = legal.</t>
        </is>
      </c>
      <c r="F39" s="23" t="inlineStr">
        <is>
          <t>HL7 table 0200 †</t>
        </is>
      </c>
      <c r="G39" s="23" t="inlineStr">
        <is>
          <t>Mapped</t>
        </is>
      </c>
      <c r="H39" s="23" t="inlineStr">
        <is>
          <t>Patient</t>
        </is>
      </c>
      <c r="I39" s="23" t="inlineStr">
        <is>
          <t>Patient.name.use</t>
        </is>
      </c>
      <c r="J39" s="23" t="inlineStr">
        <is>
          <t>Identifies the purpose for this name.</t>
        </is>
      </c>
      <c r="K39" s="23" t="inlineStr">
        <is>
          <t>NameUse
http://hl7.org/fhir/ValueSet/name-use</t>
        </is>
      </c>
      <c r="L39" s="23" t="inlineStr">
        <is>
          <t>required</t>
        </is>
      </c>
      <c r="M39" s="23" t="inlineStr">
        <is>
          <t>L -&gt; official. Any other code -&gt; use not set.</t>
        </is>
      </c>
      <c r="N39" s="23" t="n"/>
      <c r="O39" s="23" t="inlineStr">
        <is>
          <t>Other components (XPN.6 degree etc.) are not read.</t>
        </is>
      </c>
    </row>
    <row r="40" ht="32.8" customHeight="1" s="13">
      <c r="A40" s="23" t="inlineStr">
        <is>
          <t>PID</t>
        </is>
      </c>
      <c r="B40" s="23" t="inlineStr">
        <is>
          <t>PID-7</t>
        </is>
      </c>
      <c r="C40" s="23" t="inlineStr">
        <is>
          <t>Date/Time of Birth</t>
        </is>
      </c>
      <c r="D40" s="23" t="inlineStr">
        <is>
          <t>TS</t>
        </is>
      </c>
      <c r="E40" s="23" t="inlineStr">
        <is>
          <t>Patient's date of birth.</t>
        </is>
      </c>
      <c r="F40" s="23" t="n"/>
      <c r="G40" s="23" t="inlineStr">
        <is>
          <t>Mapped</t>
        </is>
      </c>
      <c r="H40" s="23" t="inlineStr">
        <is>
          <t>Patient</t>
        </is>
      </c>
      <c r="I40" s="23" t="inlineStr">
        <is>
          <t>Patient.birthDate</t>
        </is>
      </c>
      <c r="J40" s="23" t="inlineStr">
        <is>
          <t>The date of birth for the individual.</t>
        </is>
      </c>
      <c r="K40" s="23" t="n"/>
      <c r="L40" s="23" t="n"/>
      <c r="M40" s="23" t="inlineStr">
        <is>
          <t>Year, month or day precision kept; any time part dropped.</t>
        </is>
      </c>
      <c r="N40" s="23" t="n"/>
      <c r="O40" s="23" t="inlineStr">
        <is>
          <t>Must be a valid HL7 DT/DTM (all parts range-checked); otherwise the message is rejected with AE, ERR-3 102 Data type error, and nothing is written (ISSUE-04, fixed).</t>
        </is>
      </c>
    </row>
    <row r="41" ht="32.8" customHeight="1" s="13">
      <c r="A41" s="23" t="inlineStr">
        <is>
          <t>PID</t>
        </is>
      </c>
      <c r="B41" s="23" t="inlineStr">
        <is>
          <t>PID-8</t>
        </is>
      </c>
      <c r="C41" s="23" t="inlineStr">
        <is>
          <t>Administrative Sex</t>
        </is>
      </c>
      <c r="D41" s="23" t="inlineStr">
        <is>
          <t>IS</t>
        </is>
      </c>
      <c r="E41" s="23" t="inlineStr">
        <is>
          <t>Patient's administrative sex.</t>
        </is>
      </c>
      <c r="F41" s="23" t="inlineStr">
        <is>
          <t>HL7 table 0001</t>
        </is>
      </c>
      <c r="G41" s="23" t="inlineStr">
        <is>
          <t>Mapped</t>
        </is>
      </c>
      <c r="H41" s="23" t="inlineStr">
        <is>
          <t>Patient</t>
        </is>
      </c>
      <c r="I41" s="23" t="inlineStr">
        <is>
          <t>Patient.gender</t>
        </is>
      </c>
      <c r="J41" s="23" t="inlineStr">
        <is>
          <t>Administrative gender: the gender the patient is considered to have for administration and record keeping.</t>
        </is>
      </c>
      <c r="K41" s="23" t="inlineStr">
        <is>
          <t>AdministrativeGender
http://hl7.org/fhir/ValueSet/administrative-gender</t>
        </is>
      </c>
      <c r="L41" s="23" t="inlineStr">
        <is>
          <t>required</t>
        </is>
      </c>
      <c r="M41" s="23" t="inlineStr">
        <is>
          <t>See Code Mappings sheet. Unrecognised codes -&gt; unknown.</t>
        </is>
      </c>
      <c r="N41" s="23" t="inlineStr">
        <is>
          <t>One code-level difference (N): see Code Mappings sheet.</t>
        </is>
      </c>
      <c r="O41" s="23" t="n"/>
    </row>
    <row r="42" ht="22.35" customHeight="1" s="13">
      <c r="A42" s="23" t="inlineStr">
        <is>
          <t>PID</t>
        </is>
      </c>
      <c r="B42" s="23" t="inlineStr">
        <is>
          <t>PID-11.1 / PID-11.2</t>
        </is>
      </c>
      <c r="C42" s="23" t="inlineStr">
        <is>
          <t>Patient Address - Street Address / Other Designation</t>
        </is>
      </c>
      <c r="D42" s="23" t="inlineStr">
        <is>
          <t>XAD</t>
        </is>
      </c>
      <c r="E42" s="23" t="inlineStr">
        <is>
          <t>Street address lines.</t>
        </is>
      </c>
      <c r="F42" s="23" t="n"/>
      <c r="G42" s="23" t="inlineStr">
        <is>
          <t>Mapped</t>
        </is>
      </c>
      <c r="H42" s="23" t="inlineStr">
        <is>
          <t>Patient</t>
        </is>
      </c>
      <c r="I42" s="23" t="inlineStr">
        <is>
          <t>Patient.address.line</t>
        </is>
      </c>
      <c r="J42" s="23" t="inlineStr">
        <is>
          <t>House number, apartment number, street name, street direction, P.O. Box number etc.</t>
        </is>
      </c>
      <c r="K42" s="23" t="n"/>
      <c r="L42" s="23" t="n"/>
      <c r="M42" s="23" t="inlineStr">
        <is>
          <t>XAD.1.1 then XAD.2, as separate lines.</t>
        </is>
      </c>
      <c r="N42" s="23" t="n"/>
      <c r="O42" s="23" t="inlineStr">
        <is>
          <t>One Address per PID-11 repetition.</t>
        </is>
      </c>
    </row>
    <row r="43" ht="22.35" customHeight="1" s="13">
      <c r="A43" s="23" t="inlineStr">
        <is>
          <t>PID</t>
        </is>
      </c>
      <c r="B43" s="23" t="inlineStr">
        <is>
          <t>PID-11.3</t>
        </is>
      </c>
      <c r="C43" s="23" t="inlineStr">
        <is>
          <t>Patient Address - City</t>
        </is>
      </c>
      <c r="D43" s="23" t="inlineStr">
        <is>
          <t>XAD</t>
        </is>
      </c>
      <c r="E43" s="23" t="inlineStr">
        <is>
          <t>City or suburb.</t>
        </is>
      </c>
      <c r="F43" s="23" t="n"/>
      <c r="G43" s="23" t="inlineStr">
        <is>
          <t>Mapped</t>
        </is>
      </c>
      <c r="H43" s="23" t="inlineStr">
        <is>
          <t>Patient</t>
        </is>
      </c>
      <c r="I43" s="23" t="inlineStr">
        <is>
          <t>Patient.address.city</t>
        </is>
      </c>
      <c r="J43" s="23" t="inlineStr">
        <is>
          <t>The name of the city, town, suburb, village or other community or delivery center.</t>
        </is>
      </c>
      <c r="K43" s="23" t="n"/>
      <c r="L43" s="23" t="n"/>
      <c r="M43" s="23" t="inlineStr">
        <is>
          <t>Copied unchanged.</t>
        </is>
      </c>
      <c r="N43" s="23" t="n"/>
      <c r="O43" s="23" t="n"/>
    </row>
    <row r="44" ht="22.35" customHeight="1" s="13">
      <c r="A44" s="23" t="inlineStr">
        <is>
          <t>PID</t>
        </is>
      </c>
      <c r="B44" s="23" t="inlineStr">
        <is>
          <t>PID-11.4</t>
        </is>
      </c>
      <c r="C44" s="23" t="inlineStr">
        <is>
          <t>Patient Address - State or Province</t>
        </is>
      </c>
      <c r="D44" s="23" t="inlineStr">
        <is>
          <t>XAD</t>
        </is>
      </c>
      <c r="E44" s="23" t="inlineStr">
        <is>
          <t>State, e.g. QLD.</t>
        </is>
      </c>
      <c r="F44" s="23" t="n"/>
      <c r="G44" s="23" t="inlineStr">
        <is>
          <t>Mapped</t>
        </is>
      </c>
      <c r="H44" s="23" t="inlineStr">
        <is>
          <t>Patient</t>
        </is>
      </c>
      <c r="I44" s="23" t="inlineStr">
        <is>
          <t>Patient.address.state</t>
        </is>
      </c>
      <c r="J44" s="23" t="inlineStr">
        <is>
          <t>Sub-unit of a country with limited sovereignty in a federally organized country.</t>
        </is>
      </c>
      <c r="K44" s="23" t="n"/>
      <c r="L44" s="23" t="n"/>
      <c r="M44" s="23" t="inlineStr">
        <is>
          <t>Copied unchanged.</t>
        </is>
      </c>
      <c r="N44" s="23" t="n"/>
      <c r="O44" s="23" t="n"/>
    </row>
    <row r="45" ht="22.35" customHeight="1" s="13">
      <c r="A45" s="23" t="inlineStr">
        <is>
          <t>PID</t>
        </is>
      </c>
      <c r="B45" s="23" t="inlineStr">
        <is>
          <t>PID-11.5</t>
        </is>
      </c>
      <c r="C45" s="23" t="inlineStr">
        <is>
          <t>Patient Address - Zip or Postal Code</t>
        </is>
      </c>
      <c r="D45" s="23" t="inlineStr">
        <is>
          <t>XAD</t>
        </is>
      </c>
      <c r="E45" s="23" t="inlineStr">
        <is>
          <t>Postcode.</t>
        </is>
      </c>
      <c r="F45" s="23" t="n"/>
      <c r="G45" s="23" t="inlineStr">
        <is>
          <t>Mapped</t>
        </is>
      </c>
      <c r="H45" s="23" t="inlineStr">
        <is>
          <t>Patient</t>
        </is>
      </c>
      <c r="I45" s="23" t="inlineStr">
        <is>
          <t>Patient.address.postalCode</t>
        </is>
      </c>
      <c r="J45" s="23" t="inlineStr">
        <is>
          <t>A postal code designating a region defined by the postal service.</t>
        </is>
      </c>
      <c r="K45" s="23" t="n"/>
      <c r="L45" s="23" t="n"/>
      <c r="M45" s="23" t="inlineStr">
        <is>
          <t>Copied unchanged.</t>
        </is>
      </c>
      <c r="N45" s="23" t="n"/>
      <c r="O45" s="23" t="n"/>
    </row>
    <row r="46" ht="22.35" customHeight="1" s="13">
      <c r="A46" s="23" t="inlineStr">
        <is>
          <t>PID</t>
        </is>
      </c>
      <c r="B46" s="23" t="inlineStr">
        <is>
          <t>PID-11.6</t>
        </is>
      </c>
      <c r="C46" s="23" t="inlineStr">
        <is>
          <t>Patient Address - Country</t>
        </is>
      </c>
      <c r="D46" s="23" t="inlineStr">
        <is>
          <t>XAD</t>
        </is>
      </c>
      <c r="E46" s="23" t="inlineStr">
        <is>
          <t>Country.</t>
        </is>
      </c>
      <c r="F46" s="23" t="n"/>
      <c r="G46" s="23" t="inlineStr">
        <is>
          <t>Mapped</t>
        </is>
      </c>
      <c r="H46" s="23" t="inlineStr">
        <is>
          <t>Patient</t>
        </is>
      </c>
      <c r="I46" s="23" t="inlineStr">
        <is>
          <t>Patient.address.country</t>
        </is>
      </c>
      <c r="J46" s="23" t="inlineStr">
        <is>
          <t>Country - a nation as commonly understood or generally accepted.</t>
        </is>
      </c>
      <c r="K46" s="23" t="n"/>
      <c r="L46" s="23" t="n"/>
      <c r="M46" s="23" t="inlineStr">
        <is>
          <t>Copied unchanged.</t>
        </is>
      </c>
      <c r="N46" s="23" t="n"/>
      <c r="O46" s="23" t="inlineStr">
        <is>
          <t>XAD.7 address type (e.g. home, mailing) is not read, so Address.use and Address.type are never set.</t>
        </is>
      </c>
    </row>
    <row r="47" ht="43.25" customHeight="1" s="13">
      <c r="A47" s="23" t="inlineStr">
        <is>
          <t>PID</t>
        </is>
      </c>
      <c r="B47" s="23" t="inlineStr">
        <is>
          <t>PID-13</t>
        </is>
      </c>
      <c r="C47" s="23" t="inlineStr">
        <is>
          <t>Phone Number - Home</t>
        </is>
      </c>
      <c r="D47" s="23" t="inlineStr">
        <is>
          <t>XTN</t>
        </is>
      </c>
      <c r="E47" s="23" t="inlineStr">
        <is>
          <t>Home contact details.</t>
        </is>
      </c>
      <c r="F47" s="23" t="inlineStr">
        <is>
          <t>XTN.2 table 0201 †; XTN.3 table 0202 †</t>
        </is>
      </c>
      <c r="G47" s="23" t="inlineStr">
        <is>
          <t>Mapped</t>
        </is>
      </c>
      <c r="H47" s="23" t="inlineStr">
        <is>
          <t>Patient</t>
        </is>
      </c>
      <c r="I47" s="23" t="inlineStr">
        <is>
          <t>Patient.telecom (system, value, use)</t>
        </is>
      </c>
      <c r="J47" s="23" t="inlineStr">
        <is>
          <t>A contact detail (e.g. telephone number or email address) by which the individual may be contacted.</t>
        </is>
      </c>
      <c r="K47" s="23" t="inlineStr">
        <is>
          <t>ContactPointSystem
http://hl7.org/fhir/ValueSet/contact-point-system</t>
        </is>
      </c>
      <c r="L47" s="23" t="inlineStr">
        <is>
          <t>required</t>
        </is>
      </c>
      <c r="M47" s="23" t="inlineStr">
        <is>
          <t>Email when XTN.4 is present and XTN.3 = Internet/X.400 or XTN.2 = NET; otherwise phone from XTN.1, else XTN.6 + ' ' + XTN.7. use = home, or mobile when XTN.3 = CP.</t>
        </is>
      </c>
      <c r="N47" s="23" t="n"/>
      <c r="O47" s="23" t="inlineStr">
        <is>
          <t>ContactPoint.use is also a required binding (ContactPointUse). XTN.5 country code and XTN.8 extension are not read.</t>
        </is>
      </c>
    </row>
    <row r="48" ht="32.8" customHeight="1" s="13">
      <c r="A48" s="23" t="inlineStr">
        <is>
          <t>PID</t>
        </is>
      </c>
      <c r="B48" s="23" t="inlineStr">
        <is>
          <t>PID-14</t>
        </is>
      </c>
      <c r="C48" s="23" t="inlineStr">
        <is>
          <t>Phone Number - Business</t>
        </is>
      </c>
      <c r="D48" s="23" t="inlineStr">
        <is>
          <t>XTN</t>
        </is>
      </c>
      <c r="E48" s="23" t="inlineStr">
        <is>
          <t>Work contact details.</t>
        </is>
      </c>
      <c r="F48" s="23" t="inlineStr">
        <is>
          <t>XTN.2 table 0201 †; XTN.3 table 0202 †</t>
        </is>
      </c>
      <c r="G48" s="23" t="inlineStr">
        <is>
          <t>Mapped</t>
        </is>
      </c>
      <c r="H48" s="23" t="inlineStr">
        <is>
          <t>Patient</t>
        </is>
      </c>
      <c r="I48" s="23" t="inlineStr">
        <is>
          <t>Patient.telecom (system, value, use)</t>
        </is>
      </c>
      <c r="J48" s="23" t="inlineStr">
        <is>
          <t>A contact detail (e.g. telephone number or email address) by which the individual may be contacted.</t>
        </is>
      </c>
      <c r="K48" s="23" t="inlineStr">
        <is>
          <t>ContactPointSystem
http://hl7.org/fhir/ValueSet/contact-point-system</t>
        </is>
      </c>
      <c r="L48" s="23" t="inlineStr">
        <is>
          <t>required</t>
        </is>
      </c>
      <c r="M48" s="23" t="inlineStr">
        <is>
          <t>As PID-13, with use = work (mobile when XTN.3 = CP).</t>
        </is>
      </c>
      <c r="N48" s="23" t="n"/>
      <c r="O48" s="23" t="n"/>
    </row>
    <row r="49" ht="22.35" customHeight="1" s="13">
      <c r="A49" s="23" t="inlineStr">
        <is>
          <t>PID</t>
        </is>
      </c>
      <c r="B49" s="23" t="inlineStr">
        <is>
          <t>Other PID fields</t>
        </is>
      </c>
      <c r="C49" s="23" t="inlineStr">
        <is>
          <t>e.g. PID-1, PID-10, PID-19, PID-29/30</t>
        </is>
      </c>
      <c r="D49" s="23" t="n"/>
      <c r="E49" s="23" t="inlineStr">
        <is>
          <t>Set ID, race, SSN, death date/indicator etc.</t>
        </is>
      </c>
      <c r="F49" s="23" t="n"/>
      <c r="G49" s="23" t="inlineStr">
        <is>
          <t>Not used</t>
        </is>
      </c>
      <c r="H49" s="23" t="n"/>
      <c r="I49" s="23" t="n"/>
      <c r="J49" s="23" t="n"/>
      <c r="K49" s="23" t="n"/>
      <c r="L49" s="23" t="n"/>
      <c r="M49" s="23" t="n"/>
      <c r="N49" s="23" t="n"/>
      <c r="O49" s="23" t="inlineStr">
        <is>
          <t>Not read. By default an existing Patient is never updated (create-only), so demographics held on the FHIR server are kept; with PATIENT_PRACTITIONER_WRITE_MODE=upsert each message overwrites them and fields not read are not stored.</t>
        </is>
      </c>
    </row>
    <row r="50" ht="22.35" customHeight="1" s="13">
      <c r="A50" s="23" t="inlineStr">
        <is>
          <t>PID</t>
        </is>
      </c>
      <c r="B50" s="23" t="inlineStr">
        <is>
          <t>(segment)</t>
        </is>
      </c>
      <c r="C50" s="23" t="inlineStr">
        <is>
          <t>Patient Identification</t>
        </is>
      </c>
      <c r="D50" s="23" t="n"/>
      <c r="E50" s="23" t="n"/>
      <c r="F50" s="23" t="n"/>
      <c r="G50" s="23" t="inlineStr">
        <is>
          <t>Mapped (derived)</t>
        </is>
      </c>
      <c r="H50" s="23" t="inlineStr">
        <is>
          <t>Appointment</t>
        </is>
      </c>
      <c r="I50" s="23" t="inlineStr">
        <is>
          <t>Appointment.participant (patient): actor, required, status</t>
        </is>
      </c>
      <c r="J50" s="23" t="inlineStr">
        <is>
          <t>People, locations or devices involved in the appointment. 1..*.</t>
        </is>
      </c>
      <c r="K50" s="23" t="inlineStr">
        <is>
          <t>ParticipantRequired
http://hl7.org/fhir/ValueSet/participantrequired</t>
        </is>
      </c>
      <c r="L50" s="23" t="inlineStr">
        <is>
          <t>required</t>
        </is>
      </c>
      <c r="M50" s="23" t="inlineStr">
        <is>
          <t>actor.reference = Patient from PID; actor.display = 'given family'; required = required; status = accepted.</t>
        </is>
      </c>
      <c r="N50" s="23" t="inlineStr">
        <is>
          <t>IG maps PID -&gt; Appointment as well as Patient.</t>
        </is>
      </c>
      <c r="O50" s="23" t="inlineStr">
        <is>
          <t>PoC profile invariant siu-appt-1: exactly one patient participant.</t>
        </is>
      </c>
    </row>
    <row r="51" ht="32.8" customHeight="1" s="13">
      <c r="A51" s="23" t="inlineStr">
        <is>
          <t>PD1/PV1/PV2/OBX/DG1</t>
        </is>
      </c>
      <c r="B51" s="23" t="inlineStr">
        <is>
          <t>(segments)</t>
        </is>
      </c>
      <c r="C51" s="23" t="inlineStr">
        <is>
          <t>Additional demographics, visit, observations, diagnoses</t>
        </is>
      </c>
      <c r="D51" s="23" t="n"/>
      <c r="E51" s="23" t="inlineStr">
        <is>
          <t>Optional segments in SIU_S12.</t>
        </is>
      </c>
      <c r="F51" s="23" t="n"/>
      <c r="G51" s="23" t="inlineStr">
        <is>
          <t>Not used</t>
        </is>
      </c>
      <c r="H51" s="23" t="n"/>
      <c r="I51" s="23" t="n"/>
      <c r="J51" s="23" t="n"/>
      <c r="K51" s="23" t="n"/>
      <c r="L51" s="23" t="n"/>
      <c r="M51" s="23" t="n"/>
      <c r="N51" s="23" t="inlineStr">
        <is>
          <t>IG maps PV1/PV2 -&gt; Encounter, OBX -&gt; Observation, DG1 -&gt; Condition. Not implemented.</t>
        </is>
      </c>
      <c r="O51" s="23" t="inlineStr">
        <is>
          <t>Ignored if present.</t>
        </is>
      </c>
    </row>
    <row r="52" ht="22.35" customHeight="1" s="13">
      <c r="A52" s="23" t="inlineStr">
        <is>
          <t>RGS</t>
        </is>
      </c>
      <c r="B52" s="23" t="inlineStr">
        <is>
          <t>RGS-1 to RGS-3</t>
        </is>
      </c>
      <c r="C52" s="23" t="inlineStr">
        <is>
          <t>Resource Group</t>
        </is>
      </c>
      <c r="D52" s="23" t="n"/>
      <c r="E52" s="23" t="inlineStr">
        <is>
          <t>Groups the resources (AIS/AIG/AIL/AIP) booked together.</t>
        </is>
      </c>
      <c r="F52" s="23" t="n"/>
      <c r="G52" s="23" t="inlineStr">
        <is>
          <t>Not used</t>
        </is>
      </c>
      <c r="H52" s="23" t="n"/>
      <c r="I52" s="23" t="n"/>
      <c r="J52" s="23" t="n"/>
      <c r="K52" s="23" t="n"/>
      <c r="L52" s="23" t="n"/>
      <c r="M52" s="23" t="n"/>
      <c r="N52" s="23" t="n"/>
      <c r="O52" s="23" t="inlineStr">
        <is>
          <t>Not read. All resource groups are flattened into one Appointment; RGS-2 action code is ignored.</t>
        </is>
      </c>
    </row>
    <row r="53" ht="22.35" customHeight="1" s="13">
      <c r="A53" s="23" t="inlineStr">
        <is>
          <t>AIS</t>
        </is>
      </c>
      <c r="B53" s="23" t="inlineStr">
        <is>
          <t>AIS-2</t>
        </is>
      </c>
      <c r="C53" s="23" t="inlineStr">
        <is>
          <t>Segment Action Code</t>
        </is>
      </c>
      <c r="D53" s="23" t="inlineStr">
        <is>
          <t>ID</t>
        </is>
      </c>
      <c r="E53" s="23" t="inlineStr">
        <is>
          <t>Add, delete or update this service in the booking.</t>
        </is>
      </c>
      <c r="F53" s="23" t="inlineStr">
        <is>
          <t>HL7 table 0206 †</t>
        </is>
      </c>
      <c r="G53" s="23" t="inlineStr">
        <is>
          <t>Used - not mapped</t>
        </is>
      </c>
      <c r="H53" s="23" t="n"/>
      <c r="I53" s="23" t="n"/>
      <c r="J53" s="23" t="n"/>
      <c r="K53" s="23" t="n"/>
      <c r="L53" s="23" t="n"/>
      <c r="M53" s="23" t="inlineStr">
        <is>
          <t>D -&gt; segment ignored. Every other value is treated as active.</t>
        </is>
      </c>
      <c r="N53" s="23" t="n"/>
      <c r="O53" s="23" t="inlineStr">
        <is>
          <t>Because each message rebuilds the Appointment, 'D' removes the resource. Same rule for AIG-2, AIL-2, AIP-2.</t>
        </is>
      </c>
    </row>
    <row r="54" ht="22.35" customHeight="1" s="13">
      <c r="A54" s="23" t="inlineStr">
        <is>
          <t>AIS</t>
        </is>
      </c>
      <c r="B54" s="23" t="inlineStr">
        <is>
          <t>AIS-3</t>
        </is>
      </c>
      <c r="C54" s="23" t="inlineStr">
        <is>
          <t>Universal Service Identifier</t>
        </is>
      </c>
      <c r="D54" s="23" t="inlineStr">
        <is>
          <t>CE</t>
        </is>
      </c>
      <c r="E54" s="23" t="inlineStr">
        <is>
          <t>Service being booked.</t>
        </is>
      </c>
      <c r="F54" s="23" t="inlineStr">
        <is>
          <t>User-defined / local</t>
        </is>
      </c>
      <c r="G54" s="23" t="inlineStr">
        <is>
          <t>Mapped</t>
        </is>
      </c>
      <c r="H54" s="23" t="inlineStr">
        <is>
          <t>Appointment</t>
        </is>
      </c>
      <c r="I54" s="23" t="inlineStr">
        <is>
          <t>Appointment.serviceType</t>
        </is>
      </c>
      <c r="J54" s="23" t="inlineStr">
        <is>
          <t>The specific service to be performed during the appointment.</t>
        </is>
      </c>
      <c r="K54" s="23" t="inlineStr">
        <is>
          <t>Service type
http://hl7.org/fhir/ValueSet/service-type</t>
        </is>
      </c>
      <c r="L54" s="23" t="inlineStr">
        <is>
          <t>example</t>
        </is>
      </c>
      <c r="M54" s="23" t="inlineStr">
        <is>
          <t>CE -&gt; CodeableConcept, one per active AIS.</t>
        </is>
      </c>
      <c r="N54" s="23" t="inlineStr">
        <is>
          <t>Matches IG.</t>
        </is>
      </c>
      <c r="O54" s="23" t="inlineStr">
        <is>
          <t>IG notes a rule is needed when there is more than one AIS; the PoC keeps all of them.</t>
        </is>
      </c>
    </row>
    <row r="55" ht="32.8" customHeight="1" s="13">
      <c r="A55" s="23" t="inlineStr">
        <is>
          <t>AIS</t>
        </is>
      </c>
      <c r="B55" s="23" t="inlineStr">
        <is>
          <t>AIS-4</t>
        </is>
      </c>
      <c r="C55" s="23" t="inlineStr">
        <is>
          <t>Start Date/Time</t>
        </is>
      </c>
      <c r="D55" s="23" t="inlineStr">
        <is>
          <t>TS</t>
        </is>
      </c>
      <c r="E55" s="23" t="inlineStr">
        <is>
          <t>Service start.</t>
        </is>
      </c>
      <c r="F55" s="23" t="n"/>
      <c r="G55" s="23" t="inlineStr">
        <is>
          <t>Mapped (derived)</t>
        </is>
      </c>
      <c r="H55" s="23" t="inlineStr">
        <is>
          <t>Appointment</t>
        </is>
      </c>
      <c r="I55" s="23" t="inlineStr">
        <is>
          <t>Appointment.start</t>
        </is>
      </c>
      <c r="J55" s="23" t="inlineStr">
        <is>
          <t>Date/time the appointment is scheduled to begin.</t>
        </is>
      </c>
      <c r="K55" s="23" t="n"/>
      <c r="L55" s="23" t="n"/>
      <c r="M55" s="23" t="inlineStr">
        <is>
          <t>Used only if SCH-11.4 is empty: start = earliest start across all active AIS/AIG/AIL/AIP.</t>
        </is>
      </c>
      <c r="N55" s="23" t="inlineStr">
        <is>
          <t>DEVIATION: IG maps resource-segment timing to Appointment.participant.period, not Appointment.start/end.</t>
        </is>
      </c>
      <c r="O55" s="23" t="inlineStr">
        <is>
          <t>AIS-5/6 (start offset) are not read.</t>
        </is>
      </c>
    </row>
    <row r="56" ht="22.35" customHeight="1" s="13">
      <c r="A56" s="23" t="inlineStr">
        <is>
          <t>AIS</t>
        </is>
      </c>
      <c r="B56" s="23" t="inlineStr">
        <is>
          <t>AIS-7 / AIS-8</t>
        </is>
      </c>
      <c r="C56" s="23" t="inlineStr">
        <is>
          <t>Duration / Duration Units</t>
        </is>
      </c>
      <c r="D56" s="23" t="inlineStr">
        <is>
          <t>NM / CE</t>
        </is>
      </c>
      <c r="E56" s="23" t="inlineStr">
        <is>
          <t>Service duration.</t>
        </is>
      </c>
      <c r="F56" s="23" t="inlineStr">
        <is>
          <t>See SCH-10</t>
        </is>
      </c>
      <c r="G56" s="23" t="inlineStr">
        <is>
          <t>Mapped (derived)</t>
        </is>
      </c>
      <c r="H56" s="23" t="inlineStr">
        <is>
          <t>Appointment</t>
        </is>
      </c>
      <c r="I56" s="23" t="inlineStr">
        <is>
          <t>Appointment.end</t>
        </is>
      </c>
      <c r="J56" s="23" t="inlineStr">
        <is>
          <t>Date/time the appointment is scheduled to conclude.</t>
        </is>
      </c>
      <c r="K56" s="23" t="n"/>
      <c r="L56" s="23" t="n"/>
      <c r="M56" s="23" t="inlineStr">
        <is>
          <t>Candidate end = AIS-4 + duration; latest candidate used when SCH-11.5 and SCH-9 are empty.</t>
        </is>
      </c>
      <c r="N56" s="23" t="inlineStr">
        <is>
          <t>DEVIATION: IG -&gt; participant.period.end.</t>
        </is>
      </c>
      <c r="O56" s="23" t="n"/>
    </row>
    <row r="57" ht="22.35" customHeight="1" s="13">
      <c r="A57" s="23" t="inlineStr">
        <is>
          <t>AIS</t>
        </is>
      </c>
      <c r="B57" s="23" t="inlineStr">
        <is>
          <t>AIS-10</t>
        </is>
      </c>
      <c r="C57" s="23" t="inlineStr">
        <is>
          <t>Filler Status Code</t>
        </is>
      </c>
      <c r="D57" s="23" t="inlineStr">
        <is>
          <t>CE</t>
        </is>
      </c>
      <c r="E57" s="23" t="inlineStr">
        <is>
          <t>Status of this service.</t>
        </is>
      </c>
      <c r="F57" s="23" t="inlineStr">
        <is>
          <t>HL7 table 0278</t>
        </is>
      </c>
      <c r="G57" s="23" t="inlineStr">
        <is>
          <t>Not used</t>
        </is>
      </c>
      <c r="H57" s="23" t="n"/>
      <c r="I57" s="23" t="n"/>
      <c r="J57" s="23" t="n"/>
      <c r="K57" s="23" t="n"/>
      <c r="L57" s="23" t="n"/>
      <c r="M57" s="23" t="n"/>
      <c r="N57" s="23" t="inlineStr">
        <is>
          <t>IG maps AIS-10 -&gt; Appointment.status. Not implemented.</t>
        </is>
      </c>
      <c r="O57" s="23" t="inlineStr">
        <is>
          <t>Only SCH-25 sets the status.</t>
        </is>
      </c>
    </row>
    <row r="58" ht="22.35" customHeight="1" s="13">
      <c r="A58" s="23" t="inlineStr">
        <is>
          <t>AIG</t>
        </is>
      </c>
      <c r="B58" s="23" t="inlineStr">
        <is>
          <t>AIG-3</t>
        </is>
      </c>
      <c r="C58" s="23" t="inlineStr">
        <is>
          <t>Resource ID</t>
        </is>
      </c>
      <c r="D58" s="23" t="inlineStr">
        <is>
          <t>CE</t>
        </is>
      </c>
      <c r="E58" s="23" t="inlineStr">
        <is>
          <t>General resource (e.g. equipment) being booked.</t>
        </is>
      </c>
      <c r="F58" s="23" t="inlineStr">
        <is>
          <t>User-defined / local</t>
        </is>
      </c>
      <c r="G58" s="23" t="inlineStr">
        <is>
          <t>Mapped</t>
        </is>
      </c>
      <c r="H58" s="23" t="inlineStr">
        <is>
          <t>Appointment</t>
        </is>
      </c>
      <c r="I58" s="23" t="inlineStr">
        <is>
          <t>Appointment.participant.actor.display</t>
        </is>
      </c>
      <c r="J58" s="23" t="inlineStr">
        <is>
          <t>The specific person, location, healthcare service or device participating.</t>
        </is>
      </c>
      <c r="K58" s="23" t="n"/>
      <c r="L58" s="23" t="n"/>
      <c r="M58" s="23" t="inlineStr">
        <is>
          <t>actor.display = CE.2, else CE.1. No FHIR resource is created and there is no reference.</t>
        </is>
      </c>
      <c r="N58" s="23" t="inlineStr">
        <is>
          <t>IG maps AIG-3 to a Location identifier when AIG-4 indicates a location.</t>
        </is>
      </c>
      <c r="O58" s="23" t="inlineStr">
        <is>
          <t>participant.status = accepted.</t>
        </is>
      </c>
    </row>
    <row r="59" ht="32.8" customHeight="1" s="13">
      <c r="A59" s="23" t="inlineStr">
        <is>
          <t>AIG</t>
        </is>
      </c>
      <c r="B59" s="23" t="inlineStr">
        <is>
          <t>AIG-4</t>
        </is>
      </c>
      <c r="C59" s="23" t="inlineStr">
        <is>
          <t>Resource Type</t>
        </is>
      </c>
      <c r="D59" s="23" t="inlineStr">
        <is>
          <t>CE</t>
        </is>
      </c>
      <c r="E59" s="23" t="inlineStr">
        <is>
          <t>Kind of general resource.</t>
        </is>
      </c>
      <c r="F59" s="23" t="inlineStr">
        <is>
          <t>User-defined / local</t>
        </is>
      </c>
      <c r="G59" s="23" t="inlineStr">
        <is>
          <t>Mapped</t>
        </is>
      </c>
      <c r="H59" s="23" t="inlineStr">
        <is>
          <t>Appointment</t>
        </is>
      </c>
      <c r="I59" s="23" t="inlineStr">
        <is>
          <t>Appointment.participant.type</t>
        </is>
      </c>
      <c r="J59" s="23" t="inlineStr">
        <is>
          <t>The role the participant plays in the appointment.</t>
        </is>
      </c>
      <c r="K59" s="23" t="inlineStr">
        <is>
          <t>Participant type
http://hl7.org/fhir/ValueSet/encounter-participant-type</t>
        </is>
      </c>
      <c r="L59" s="23" t="inlineStr">
        <is>
          <t>extensible</t>
        </is>
      </c>
      <c r="M59" s="23" t="inlineStr">
        <is>
          <t>CE -&gt; CodeableConcept.</t>
        </is>
      </c>
      <c r="N59" s="23" t="inlineStr">
        <is>
          <t>Matches IG.</t>
        </is>
      </c>
      <c r="O59" s="23" t="inlineStr">
        <is>
          <t>Binding conformance: see ISSUE-08.</t>
        </is>
      </c>
    </row>
    <row r="60" ht="15" customHeight="1" s="13">
      <c r="A60" s="23" t="inlineStr">
        <is>
          <t>AIG</t>
        </is>
      </c>
      <c r="B60" s="23" t="inlineStr">
        <is>
          <t>AIG-8; AIG-11/12</t>
        </is>
      </c>
      <c r="C60" s="23" t="inlineStr">
        <is>
          <t>Start Date/Time; Duration / Units</t>
        </is>
      </c>
      <c r="D60" s="23" t="inlineStr">
        <is>
          <t>TS; NM / CE</t>
        </is>
      </c>
      <c r="E60" s="23" t="inlineStr">
        <is>
          <t>Resource timing.</t>
        </is>
      </c>
      <c r="F60" s="23" t="n"/>
      <c r="G60" s="23" t="inlineStr">
        <is>
          <t>Mapped (derived)</t>
        </is>
      </c>
      <c r="H60" s="23" t="inlineStr">
        <is>
          <t>Appointment</t>
        </is>
      </c>
      <c r="I60" s="23" t="inlineStr">
        <is>
          <t>Appointment.start / Appointment.end</t>
        </is>
      </c>
      <c r="J60" s="23" t="inlineStr">
        <is>
          <t>Date/time the appointment is scheduled to begin.</t>
        </is>
      </c>
      <c r="K60" s="23" t="n"/>
      <c r="L60" s="23" t="n"/>
      <c r="M60" s="23" t="inlineStr">
        <is>
          <t>As AIS-4 and AIS-7/8.</t>
        </is>
      </c>
      <c r="N60" s="23" t="inlineStr">
        <is>
          <t>DEVIATION: IG -&gt; participant.period.</t>
        </is>
      </c>
      <c r="O60" s="23" t="n"/>
    </row>
    <row r="61" ht="43.25" customHeight="1" s="13">
      <c r="A61" s="23" t="inlineStr">
        <is>
          <t>AIL</t>
        </is>
      </c>
      <c r="B61" s="23" t="inlineStr">
        <is>
          <t>AIL-3.1 to .4</t>
        </is>
      </c>
      <c r="C61" s="23" t="inlineStr">
        <is>
          <t>Location Resource ID - Point of Care, Room, Bed, Facility</t>
        </is>
      </c>
      <c r="D61" s="23" t="inlineStr">
        <is>
          <t>PL</t>
        </is>
      </c>
      <c r="E61" s="23" t="inlineStr">
        <is>
          <t>Location being booked.</t>
        </is>
      </c>
      <c r="F61" s="23" t="n"/>
      <c r="G61" s="23" t="inlineStr">
        <is>
          <t>Mapped</t>
        </is>
      </c>
      <c r="H61" s="23" t="inlineStr">
        <is>
          <t>Location</t>
        </is>
      </c>
      <c r="I61" s="23" t="inlineStr">
        <is>
          <t>Location.identifier (system, value)</t>
        </is>
      </c>
      <c r="J61" s="23" t="inlineStr">
        <is>
          <t>Unique code or number identifying the location to its users.</t>
        </is>
      </c>
      <c r="K61" s="23" t="n"/>
      <c r="L61" s="23" t="n"/>
      <c r="M61" s="23" t="inlineStr">
        <is>
          <t>value = facility/point of care/room/bed (empty parts skipped, joined with '/'); system = {base}/location.</t>
        </is>
      </c>
      <c r="N61" s="23" t="inlineStr">
        <is>
          <t>IG uses its PL-&gt;Location datatype map.</t>
        </is>
      </c>
      <c r="O61" s="23" t="inlineStr">
        <is>
          <t>Location match key. Status is always set to 'active' (LocationStatus, required). If PL has none of these parts, a display-only participant is added (PL.9, else 'Unidentified location').</t>
        </is>
      </c>
    </row>
    <row r="62" ht="22.35" customHeight="1" s="13">
      <c r="A62" s="23" t="inlineStr">
        <is>
          <t>AIL</t>
        </is>
      </c>
      <c r="B62" s="23" t="inlineStr">
        <is>
          <t>AIL-3.9</t>
        </is>
      </c>
      <c r="C62" s="23" t="inlineStr">
        <is>
          <t>Location Resource ID - Location Description</t>
        </is>
      </c>
      <c r="D62" s="23" t="inlineStr">
        <is>
          <t>PL</t>
        </is>
      </c>
      <c r="E62" s="23" t="inlineStr">
        <is>
          <t>Free-text location name.</t>
        </is>
      </c>
      <c r="F62" s="23" t="n"/>
      <c r="G62" s="23" t="inlineStr">
        <is>
          <t>Mapped</t>
        </is>
      </c>
      <c r="H62" s="23" t="inlineStr">
        <is>
          <t>Location</t>
        </is>
      </c>
      <c r="I62" s="23" t="inlineStr">
        <is>
          <t>Location.name</t>
        </is>
      </c>
      <c r="J62" s="23" t="inlineStr">
        <is>
          <t>Name of the location as used by humans. Does not need to be unique.</t>
        </is>
      </c>
      <c r="K62" s="23" t="n"/>
      <c r="L62" s="23" t="n"/>
      <c r="M62" s="23" t="inlineStr">
        <is>
          <t>PL.9, else the identifier parts joined with spaces.</t>
        </is>
      </c>
      <c r="N62" s="23" t="n"/>
      <c r="O62" s="23" t="n"/>
    </row>
    <row r="63" ht="22.35" customHeight="1" s="13">
      <c r="A63" s="23" t="inlineStr">
        <is>
          <t>AIL</t>
        </is>
      </c>
      <c r="B63" s="23" t="inlineStr">
        <is>
          <t>AIL-3 (reference)</t>
        </is>
      </c>
      <c r="C63" s="23" t="inlineStr">
        <is>
          <t>Location Resource ID</t>
        </is>
      </c>
      <c r="D63" s="23" t="inlineStr">
        <is>
          <t>PL</t>
        </is>
      </c>
      <c r="E63" s="23" t="n"/>
      <c r="F63" s="23" t="n"/>
      <c r="G63" s="23" t="inlineStr">
        <is>
          <t>Mapped (derived)</t>
        </is>
      </c>
      <c r="H63" s="23" t="inlineStr">
        <is>
          <t>Appointment</t>
        </is>
      </c>
      <c r="I63" s="23" t="inlineStr">
        <is>
          <t>Appointment.participant.actor (Reference(Location))</t>
        </is>
      </c>
      <c r="J63" s="23" t="inlineStr">
        <is>
          <t>The specific person, location, healthcare service or device participating.</t>
        </is>
      </c>
      <c r="K63" s="23" t="n"/>
      <c r="L63" s="23" t="n"/>
      <c r="M63" s="23" t="inlineStr">
        <is>
          <t>reference = Location from AIL-3; display = Location.name; status = accepted.</t>
        </is>
      </c>
      <c r="N63" s="23" t="inlineStr">
        <is>
          <t>Matches IG target.</t>
        </is>
      </c>
      <c r="O63" s="23" t="n"/>
    </row>
    <row r="64" ht="32.8" customHeight="1" s="13">
      <c r="A64" s="23" t="inlineStr">
        <is>
          <t>AIL</t>
        </is>
      </c>
      <c r="B64" s="23" t="inlineStr">
        <is>
          <t>AIL-4</t>
        </is>
      </c>
      <c r="C64" s="23" t="inlineStr">
        <is>
          <t>Location Type - AIL</t>
        </is>
      </c>
      <c r="D64" s="23" t="inlineStr">
        <is>
          <t>CE</t>
        </is>
      </c>
      <c r="E64" s="23" t="inlineStr">
        <is>
          <t>Kind of location, e.g. clinic, ward.</t>
        </is>
      </c>
      <c r="F64" s="23" t="inlineStr">
        <is>
          <t>User-defined (table number not checked)</t>
        </is>
      </c>
      <c r="G64" s="23" t="inlineStr">
        <is>
          <t>Mapped</t>
        </is>
      </c>
      <c r="H64" s="23" t="inlineStr">
        <is>
          <t>Location</t>
        </is>
      </c>
      <c r="I64" s="23" t="inlineStr">
        <is>
          <t>Location.type</t>
        </is>
      </c>
      <c r="J64" s="23" t="inlineStr">
        <is>
          <t>Indicates the type of function performed at the location.</t>
        </is>
      </c>
      <c r="K64" s="23" t="inlineStr">
        <is>
          <t>ServiceDeliveryLocationRoleType
http://terminology.hl7.org/ValueSet/v3-ServiceDeliveryLocationRoleType</t>
        </is>
      </c>
      <c r="L64" s="23" t="inlineStr">
        <is>
          <t>extensible</t>
        </is>
      </c>
      <c r="M64" s="23" t="inlineStr">
        <is>
          <t>CE -&gt; CodeableConcept.</t>
        </is>
      </c>
      <c r="N64" s="23" t="inlineStr">
        <is>
          <t>DEVIATION: IG has no target for AIL-4.</t>
        </is>
      </c>
      <c r="O64" s="23" t="inlineStr">
        <is>
          <t>Binding conformance: see ISSUE-08. Not added to the participant.</t>
        </is>
      </c>
    </row>
    <row r="65" ht="15" customHeight="1" s="13">
      <c r="A65" s="23" t="inlineStr">
        <is>
          <t>AIL</t>
        </is>
      </c>
      <c r="B65" s="23" t="inlineStr">
        <is>
          <t>AIL-6; AIL-9/10</t>
        </is>
      </c>
      <c r="C65" s="23" t="inlineStr">
        <is>
          <t>Start Date/Time; Duration / Units</t>
        </is>
      </c>
      <c r="D65" s="23" t="inlineStr">
        <is>
          <t>TS; NM / CE</t>
        </is>
      </c>
      <c r="E65" s="23" t="inlineStr">
        <is>
          <t>Location timing.</t>
        </is>
      </c>
      <c r="F65" s="23" t="n"/>
      <c r="G65" s="23" t="inlineStr">
        <is>
          <t>Mapped (derived)</t>
        </is>
      </c>
      <c r="H65" s="23" t="inlineStr">
        <is>
          <t>Appointment</t>
        </is>
      </c>
      <c r="I65" s="23" t="inlineStr">
        <is>
          <t>Appointment.start / Appointment.end</t>
        </is>
      </c>
      <c r="J65" s="23" t="inlineStr">
        <is>
          <t>Date/time the appointment is scheduled to begin.</t>
        </is>
      </c>
      <c r="K65" s="23" t="n"/>
      <c r="L65" s="23" t="n"/>
      <c r="M65" s="23" t="inlineStr">
        <is>
          <t>As AIS-4 and AIS-7/8.</t>
        </is>
      </c>
      <c r="N65" s="23" t="inlineStr">
        <is>
          <t>DEVIATION: IG -&gt; participant.period.</t>
        </is>
      </c>
      <c r="O65" s="23" t="n"/>
    </row>
    <row r="66" ht="22.35" customHeight="1" s="13">
      <c r="A66" s="23" t="inlineStr">
        <is>
          <t>AIP</t>
        </is>
      </c>
      <c r="B66" s="23" t="inlineStr">
        <is>
          <t>AIP-3.1</t>
        </is>
      </c>
      <c r="C66" s="23" t="inlineStr">
        <is>
          <t>Personnel Resource ID - ID Number</t>
        </is>
      </c>
      <c r="D66" s="23" t="inlineStr">
        <is>
          <t>XCN</t>
        </is>
      </c>
      <c r="E66" s="23" t="inlineStr">
        <is>
          <t>Clinician's identifier.</t>
        </is>
      </c>
      <c r="F66" s="23" t="n"/>
      <c r="G66" s="23" t="inlineStr">
        <is>
          <t>Mapped</t>
        </is>
      </c>
      <c r="H66" s="23" t="inlineStr">
        <is>
          <t>Practitioner</t>
        </is>
      </c>
      <c r="I66" s="23" t="inlineStr">
        <is>
          <t>Practitioner.identifier.value</t>
        </is>
      </c>
      <c r="J66" s="23" t="inlineStr">
        <is>
          <t>An identifier that applies to this person in this role.</t>
        </is>
      </c>
      <c r="K66" s="23" t="n"/>
      <c r="L66" s="23" t="n"/>
      <c r="M66" s="23" t="inlineStr">
        <is>
          <t>Copied unchanged.</t>
        </is>
      </c>
      <c r="N66" s="23" t="inlineStr">
        <is>
          <t>IG uses its XCN-&gt;Practitioner datatype map.</t>
        </is>
      </c>
      <c r="O66" s="23" t="inlineStr">
        <is>
          <t>Practitioner match key. If empty, a display-only participant is added and no Practitioner is created. An existing Practitioner with this identifier is used unchanged (default create-only); otherwise one is created from the SIU. PATIENT_PRACTITIONER_WRITE_MODE=upsert overwrites it instead.</t>
        </is>
      </c>
    </row>
    <row r="67" ht="22.35" customHeight="1" s="13">
      <c r="A67" s="23" t="inlineStr">
        <is>
          <t>AIP</t>
        </is>
      </c>
      <c r="B67" s="23" t="inlineStr">
        <is>
          <t>AIP-3.9</t>
        </is>
      </c>
      <c r="C67" s="23" t="inlineStr">
        <is>
          <t>Personnel Resource ID - Assigning Authority</t>
        </is>
      </c>
      <c r="D67" s="23" t="inlineStr">
        <is>
          <t>XCN (HD)</t>
        </is>
      </c>
      <c r="E67" s="23" t="inlineStr">
        <is>
          <t>Issuer of the clinician ID.</t>
        </is>
      </c>
      <c r="F67" s="23" t="n"/>
      <c r="G67" s="23" t="inlineStr">
        <is>
          <t>Mapped (derived)</t>
        </is>
      </c>
      <c r="H67" s="23" t="inlineStr">
        <is>
          <t>Practitioner</t>
        </is>
      </c>
      <c r="I67" s="23" t="inlineStr">
        <is>
          <t>Practitioner.identifier.system</t>
        </is>
      </c>
      <c r="J67" s="23" t="inlineStr">
        <is>
          <t>An identifier that applies to this person in this role.</t>
        </is>
      </c>
      <c r="K67" s="23" t="n"/>
      <c r="L67" s="23" t="n"/>
      <c r="M67" s="23" t="inlineStr">
        <is>
          <t>{base}/practitioner/{HD.1, else 'default'}</t>
        </is>
      </c>
      <c r="N67" s="23" t="n"/>
      <c r="O67" s="23" t="inlineStr">
        <is>
          <t>Placeholder. AU deployments might use HPI-I or a provider number system.</t>
        </is>
      </c>
    </row>
    <row r="68" ht="22.35" customHeight="1" s="13">
      <c r="A68" s="23" t="inlineStr">
        <is>
          <t>AIP</t>
        </is>
      </c>
      <c r="B68" s="23" t="inlineStr">
        <is>
          <t>AIP-3.2 / .3 / .6</t>
        </is>
      </c>
      <c r="C68" s="23" t="inlineStr">
        <is>
          <t>Personnel Resource ID - Family Name / Given Name / Prefix</t>
        </is>
      </c>
      <c r="D68" s="23" t="inlineStr">
        <is>
          <t>XCN</t>
        </is>
      </c>
      <c r="E68" s="23" t="inlineStr">
        <is>
          <t>Clinician's name.</t>
        </is>
      </c>
      <c r="F68" s="23" t="n"/>
      <c r="G68" s="23" t="inlineStr">
        <is>
          <t>Mapped</t>
        </is>
      </c>
      <c r="H68" s="23" t="inlineStr">
        <is>
          <t>Practitioner</t>
        </is>
      </c>
      <c r="I68" s="23" t="inlineStr">
        <is>
          <t>Practitioner.name (family, given, prefix)</t>
        </is>
      </c>
      <c r="J68" s="23" t="inlineStr">
        <is>
          <t>The name(s) associated with the practitioner.</t>
        </is>
      </c>
      <c r="K68" s="23" t="n"/>
      <c r="L68" s="23" t="n"/>
      <c r="M68" s="23" t="inlineStr">
        <is>
          <t>XCN.2.1 -&gt; family; XCN.3 -&gt; given; XCN.6 -&gt; prefix.</t>
        </is>
      </c>
      <c r="N68" s="23" t="n"/>
      <c r="O68" s="23" t="inlineStr">
        <is>
          <t>Also builds participant actor.display as 'prefix given family'. Middle names, suffix and degree are not read.</t>
        </is>
      </c>
    </row>
    <row r="69" ht="22.35" customHeight="1" s="13">
      <c r="A69" s="23" t="inlineStr">
        <is>
          <t>AIP</t>
        </is>
      </c>
      <c r="B69" s="23" t="inlineStr">
        <is>
          <t>AIP-3 (reference)</t>
        </is>
      </c>
      <c r="C69" s="23" t="inlineStr">
        <is>
          <t>Personnel Resource ID</t>
        </is>
      </c>
      <c r="D69" s="23" t="inlineStr">
        <is>
          <t>XCN</t>
        </is>
      </c>
      <c r="E69" s="23" t="n"/>
      <c r="F69" s="23" t="n"/>
      <c r="G69" s="23" t="inlineStr">
        <is>
          <t>Mapped (derived)</t>
        </is>
      </c>
      <c r="H69" s="23" t="inlineStr">
        <is>
          <t>Appointment</t>
        </is>
      </c>
      <c r="I69" s="23" t="inlineStr">
        <is>
          <t>Appointment.participant.actor (Reference(Practitioner))</t>
        </is>
      </c>
      <c r="J69" s="23" t="inlineStr">
        <is>
          <t>The specific person, location, healthcare service or device participating.</t>
        </is>
      </c>
      <c r="K69" s="23" t="n"/>
      <c r="L69" s="23" t="n"/>
      <c r="M69" s="23" t="inlineStr">
        <is>
          <t>reference = Practitioner from AIP-3; status = accepted.</t>
        </is>
      </c>
      <c r="N69" s="23" t="inlineStr">
        <is>
          <t>Matches IG target.</t>
        </is>
      </c>
      <c r="O69" s="23" t="n"/>
    </row>
    <row r="70" ht="32.8" customHeight="1" s="13">
      <c r="A70" s="23" t="inlineStr">
        <is>
          <t>AIP</t>
        </is>
      </c>
      <c r="B70" s="23" t="inlineStr">
        <is>
          <t>AIP-4</t>
        </is>
      </c>
      <c r="C70" s="23" t="inlineStr">
        <is>
          <t>Resource Type</t>
        </is>
      </c>
      <c r="D70" s="23" t="inlineStr">
        <is>
          <t>CE</t>
        </is>
      </c>
      <c r="E70" s="23" t="inlineStr">
        <is>
          <t>Clinician's role in the booking, e.g. attending.</t>
        </is>
      </c>
      <c r="F70" s="23" t="inlineStr">
        <is>
          <t>User-defined / local</t>
        </is>
      </c>
      <c r="G70" s="23" t="inlineStr">
        <is>
          <t>Mapped</t>
        </is>
      </c>
      <c r="H70" s="23" t="inlineStr">
        <is>
          <t>Appointment</t>
        </is>
      </c>
      <c r="I70" s="23" t="inlineStr">
        <is>
          <t>Appointment.participant.type</t>
        </is>
      </c>
      <c r="J70" s="23" t="inlineStr">
        <is>
          <t>The role the participant plays in the appointment.</t>
        </is>
      </c>
      <c r="K70" s="23" t="inlineStr">
        <is>
          <t>Participant type
http://hl7.org/fhir/ValueSet/encounter-participant-type</t>
        </is>
      </c>
      <c r="L70" s="23" t="inlineStr">
        <is>
          <t>extensible</t>
        </is>
      </c>
      <c r="M70" s="23" t="inlineStr">
        <is>
          <t>CE -&gt; CodeableConcept.</t>
        </is>
      </c>
      <c r="N70" s="23" t="inlineStr">
        <is>
          <t>Matches IG.</t>
        </is>
      </c>
      <c r="O70" s="23" t="inlineStr">
        <is>
          <t>ISSUE-08: e.g. ATND exists in v3-ParticipationType (in this value set), but the service writes it under a placeholder local system.</t>
        </is>
      </c>
    </row>
    <row r="71" ht="15" customHeight="1" s="13">
      <c r="A71" s="23" t="inlineStr">
        <is>
          <t>AIP</t>
        </is>
      </c>
      <c r="B71" s="23" t="inlineStr">
        <is>
          <t>AIP-6; AIP-9/10</t>
        </is>
      </c>
      <c r="C71" s="23" t="inlineStr">
        <is>
          <t>Start Date/Time; Duration / Units</t>
        </is>
      </c>
      <c r="D71" s="23" t="inlineStr">
        <is>
          <t>TS; NM / CE</t>
        </is>
      </c>
      <c r="E71" s="23" t="inlineStr">
        <is>
          <t>Clinician timing.</t>
        </is>
      </c>
      <c r="F71" s="23" t="n"/>
      <c r="G71" s="23" t="inlineStr">
        <is>
          <t>Mapped (derived)</t>
        </is>
      </c>
      <c r="H71" s="23" t="inlineStr">
        <is>
          <t>Appointment</t>
        </is>
      </c>
      <c r="I71" s="23" t="inlineStr">
        <is>
          <t>Appointment.start / Appointment.end</t>
        </is>
      </c>
      <c r="J71" s="23" t="inlineStr">
        <is>
          <t>Date/time the appointment is scheduled to begin.</t>
        </is>
      </c>
      <c r="K71" s="23" t="n"/>
      <c r="L71" s="23" t="n"/>
      <c r="M71" s="23" t="inlineStr">
        <is>
          <t>As AIS-4 and AIS-7/8.</t>
        </is>
      </c>
      <c r="N71" s="23" t="inlineStr">
        <is>
          <t>DEVIATION: IG -&gt; participant.period.</t>
        </is>
      </c>
      <c r="O71" s="23" t="n"/>
    </row>
    <row r="72" ht="22.35" customHeight="1" s="13">
      <c r="A72" s="23" t="inlineStr">
        <is>
          <t>AIP</t>
        </is>
      </c>
      <c r="B72" s="23" t="inlineStr">
        <is>
          <t>AIP-12</t>
        </is>
      </c>
      <c r="C72" s="23" t="inlineStr">
        <is>
          <t>Filler Status Code</t>
        </is>
      </c>
      <c r="D72" s="23" t="inlineStr">
        <is>
          <t>CE</t>
        </is>
      </c>
      <c r="E72" s="23" t="inlineStr">
        <is>
          <t>Clinician's status for this booking.</t>
        </is>
      </c>
      <c r="F72" s="23" t="inlineStr">
        <is>
          <t>HL7 table 0278</t>
        </is>
      </c>
      <c r="G72" s="23" t="inlineStr">
        <is>
          <t>Not used</t>
        </is>
      </c>
      <c r="H72" s="23" t="inlineStr">
        <is>
          <t>Appointment</t>
        </is>
      </c>
      <c r="I72" s="23" t="inlineStr">
        <is>
          <t>Appointment.participant.status</t>
        </is>
      </c>
      <c r="J72" s="23" t="inlineStr">
        <is>
          <t>The participant's own participation status. 1..1.</t>
        </is>
      </c>
      <c r="K72" s="23" t="inlineStr">
        <is>
          <t>ParticipationStatus
http://hl7.org/fhir/ValueSet/participationstatus</t>
        </is>
      </c>
      <c r="L72" s="23" t="inlineStr">
        <is>
          <t>required</t>
        </is>
      </c>
      <c r="M72" s="23" t="inlineStr">
        <is>
          <t>Not read: every participant gets the constant 'accepted'.</t>
        </is>
      </c>
      <c r="N72" s="23" t="inlineStr">
        <is>
          <t>IG maps AIP-12 -&gt; participant.status. Not implemented.</t>
        </is>
      </c>
      <c r="O72" s="23" t="n"/>
    </row>
  </sheetData>
  <conditionalFormatting sqref="G2:G72">
    <cfRule type="expression" rank="0" priority="2" equalAverage="0" aboveAverage="0" dxfId="8" text="" percent="0" bottom="0">
      <formula>$G2="Mapped"</formula>
    </cfRule>
    <cfRule type="expression" rank="0" priority="3" equalAverage="0" aboveAverage="0" dxfId="9" text="" percent="0" bottom="0">
      <formula>$G2="Mapped (derived)"</formula>
    </cfRule>
    <cfRule type="expression" rank="0" priority="4" equalAverage="0" aboveAverage="0" dxfId="10" text="" percent="0" bottom="0">
      <formula>$G2="Used - not mapped"</formula>
    </cfRule>
    <cfRule type="expression" rank="0" priority="5" equalAverage="0" aboveAverage="0" dxfId="11" text="" percent="0" bottom="0">
      <formula>$G2="Not used"</formula>
    </cfRule>
  </conditionalFormatting>
  <conditionalFormatting sqref="N2:N72">
    <cfRule type="expression" rank="0" priority="6" equalAverage="0" aboveAverage="0" dxfId="12" text="" percent="0" bottom="0">
      <formula>ISNUMBER(SEARCH("DEVIATION",$N2))</formula>
    </cfRule>
  </conditionalFormatting>
  <conditionalFormatting sqref="O2:O72">
    <cfRule type="expression" rank="0" priority="7" equalAverage="0" aboveAverage="0" dxfId="13" text="" percent="0" bottom="0">
      <formula>ISNUMBER(SEARCH("DEFECT",$O2))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3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22" customWidth="1" style="12" min="2" max="3"/>
    <col width="26" customWidth="1" style="12" min="4" max="4"/>
    <col width="34" customWidth="1" style="12" min="5" max="5"/>
    <col width="18" customWidth="1" style="12" min="6" max="6"/>
    <col width="12" customWidth="1" style="12" min="7" max="7"/>
    <col width="28" customWidth="1" style="12" min="8" max="8"/>
    <col width="60" customWidth="1" style="12" min="9" max="9"/>
  </cols>
  <sheetData>
    <row r="1" ht="31.5" customHeight="1" s="13">
      <c r="A1" s="22" t="inlineStr">
        <is>
          <t>SIU Element / Code Set</t>
        </is>
      </c>
      <c r="B1" s="22" t="inlineStr">
        <is>
          <t>SIU Code</t>
        </is>
      </c>
      <c r="C1" s="22" t="inlineStr">
        <is>
          <t>SIU Meaning</t>
        </is>
      </c>
      <c r="D1" s="22" t="inlineStr">
        <is>
          <t>FHIR Value Set / Element</t>
        </is>
      </c>
      <c r="E1" s="22" t="inlineStr">
        <is>
          <t>FHIR Code</t>
        </is>
      </c>
      <c r="F1" s="22" t="inlineStr">
        <is>
          <t>FHIR Display</t>
        </is>
      </c>
      <c r="G1" s="22" t="inlineStr">
        <is>
          <t>Equivalence</t>
        </is>
      </c>
      <c r="H1" s="22" t="inlineStr">
        <is>
          <t>Comparison with HL7 v2-to-FHIR IG</t>
        </is>
      </c>
      <c r="I1" s="22" t="inlineStr">
        <is>
          <t>Notes</t>
        </is>
      </c>
    </row>
    <row r="2" ht="15" customHeight="1" s="13">
      <c r="A2" s="23" t="inlineStr">
        <is>
          <t>SCH-25 / table 0278</t>
        </is>
      </c>
      <c r="B2" s="23" t="inlineStr">
        <is>
          <t>Pending</t>
        </is>
      </c>
      <c r="C2" s="23" t="inlineStr">
        <is>
          <t>Pending</t>
        </is>
      </c>
      <c r="D2" s="23" t="inlineStr">
        <is>
          <t>AppointmentStatus</t>
        </is>
      </c>
      <c r="E2" s="23" t="inlineStr">
        <is>
          <t>pending</t>
        </is>
      </c>
      <c r="F2" s="23" t="inlineStr">
        <is>
          <t>Pending</t>
        </is>
      </c>
      <c r="G2" s="23" t="inlineStr">
        <is>
          <t>equivalent</t>
        </is>
      </c>
      <c r="H2" s="23" t="inlineStr">
        <is>
          <t>Same</t>
        </is>
      </c>
      <c r="I2" s="23" t="n"/>
    </row>
    <row r="3" ht="15" customHeight="1" s="13">
      <c r="A3" s="23" t="inlineStr">
        <is>
          <t>SCH-25 / table 0278</t>
        </is>
      </c>
      <c r="B3" s="23" t="inlineStr">
        <is>
          <t>Waitlist</t>
        </is>
      </c>
      <c r="C3" s="23" t="inlineStr">
        <is>
          <t>Waitlist</t>
        </is>
      </c>
      <c r="D3" s="23" t="inlineStr">
        <is>
          <t>AppointmentStatus</t>
        </is>
      </c>
      <c r="E3" s="23" t="inlineStr">
        <is>
          <t>waitlist</t>
        </is>
      </c>
      <c r="F3" s="23" t="inlineStr">
        <is>
          <t>Waitlisted</t>
        </is>
      </c>
      <c r="G3" s="23" t="inlineStr">
        <is>
          <t>equivalent</t>
        </is>
      </c>
      <c r="H3" s="23" t="inlineStr">
        <is>
          <t>Same</t>
        </is>
      </c>
      <c r="I3" s="23" t="n"/>
    </row>
    <row r="4" ht="15" customHeight="1" s="13">
      <c r="A4" s="23" t="inlineStr">
        <is>
          <t>SCH-25 / table 0278</t>
        </is>
      </c>
      <c r="B4" s="23" t="inlineStr">
        <is>
          <t>Booked</t>
        </is>
      </c>
      <c r="C4" s="23" t="inlineStr">
        <is>
          <t>Booked</t>
        </is>
      </c>
      <c r="D4" s="23" t="inlineStr">
        <is>
          <t>AppointmentStatus</t>
        </is>
      </c>
      <c r="E4" s="23" t="inlineStr">
        <is>
          <t>booked</t>
        </is>
      </c>
      <c r="F4" s="23" t="inlineStr">
        <is>
          <t>Booked</t>
        </is>
      </c>
      <c r="G4" s="23" t="inlineStr">
        <is>
          <t>equivalent</t>
        </is>
      </c>
      <c r="H4" s="23" t="inlineStr">
        <is>
          <t>Same</t>
        </is>
      </c>
      <c r="I4" s="23" t="n"/>
    </row>
    <row r="5" ht="15" customHeight="1" s="13">
      <c r="A5" s="23" t="inlineStr">
        <is>
          <t>SCH-25 / table 0278</t>
        </is>
      </c>
      <c r="B5" s="23" t="inlineStr">
        <is>
          <t>Started</t>
        </is>
      </c>
      <c r="C5" s="23" t="inlineStr">
        <is>
          <t>Started</t>
        </is>
      </c>
      <c r="D5" s="23" t="inlineStr">
        <is>
          <t>AppointmentStatus</t>
        </is>
      </c>
      <c r="E5" s="23" t="inlineStr">
        <is>
          <t>arrived</t>
        </is>
      </c>
      <c r="F5" s="23" t="inlineStr">
        <is>
          <t>Arrived</t>
        </is>
      </c>
      <c r="G5" s="23" t="inlineStr">
        <is>
          <t>inexact</t>
        </is>
      </c>
      <c r="H5" s="23" t="inlineStr">
        <is>
          <t>DIFFERENT: IG -&gt; checked-in</t>
        </is>
      </c>
      <c r="I5" s="23" t="inlineStr">
        <is>
          <t>R4 AppointmentStatus includes checked-in; see ISSUE-05.</t>
        </is>
      </c>
    </row>
    <row r="6" ht="15" customHeight="1" s="13">
      <c r="A6" s="23" t="inlineStr">
        <is>
          <t>SCH-25 / table 0278</t>
        </is>
      </c>
      <c r="B6" s="23" t="inlineStr">
        <is>
          <t>Complete</t>
        </is>
      </c>
      <c r="C6" s="23" t="inlineStr">
        <is>
          <t>Complete</t>
        </is>
      </c>
      <c r="D6" s="23" t="inlineStr">
        <is>
          <t>AppointmentStatus</t>
        </is>
      </c>
      <c r="E6" s="23" t="inlineStr">
        <is>
          <t>fulfilled</t>
        </is>
      </c>
      <c r="F6" s="23" t="inlineStr">
        <is>
          <t>Fulfilled</t>
        </is>
      </c>
      <c r="G6" s="23" t="inlineStr">
        <is>
          <t>equivalent</t>
        </is>
      </c>
      <c r="H6" s="23" t="inlineStr">
        <is>
          <t>Same</t>
        </is>
      </c>
      <c r="I6" s="23" t="n"/>
    </row>
    <row r="7" ht="15" customHeight="1" s="13">
      <c r="A7" s="23" t="inlineStr">
        <is>
          <t>SCH-25 / table 0278</t>
        </is>
      </c>
      <c r="B7" s="23" t="inlineStr">
        <is>
          <t>Cancelled</t>
        </is>
      </c>
      <c r="C7" s="23" t="inlineStr">
        <is>
          <t>Cancelled</t>
        </is>
      </c>
      <c r="D7" s="23" t="inlineStr">
        <is>
          <t>AppointmentStatus</t>
        </is>
      </c>
      <c r="E7" s="23" t="inlineStr">
        <is>
          <t>cancelled</t>
        </is>
      </c>
      <c r="F7" s="23" t="inlineStr">
        <is>
          <t>Cancelled</t>
        </is>
      </c>
      <c r="G7" s="23" t="inlineStr">
        <is>
          <t>equivalent</t>
        </is>
      </c>
      <c r="H7" s="23" t="inlineStr">
        <is>
          <t>Same</t>
        </is>
      </c>
      <c r="I7" s="23" t="n"/>
    </row>
    <row r="8" ht="15" customHeight="1" s="13">
      <c r="A8" s="23" t="inlineStr">
        <is>
          <t>SCH-25 / table 0278</t>
        </is>
      </c>
      <c r="B8" s="23" t="inlineStr">
        <is>
          <t>Discontinued</t>
        </is>
      </c>
      <c r="C8" s="23" t="inlineStr">
        <is>
          <t>Discontinued (v2.3+)</t>
        </is>
      </c>
      <c r="D8" s="23" t="inlineStr">
        <is>
          <t>AppointmentStatus</t>
        </is>
      </c>
      <c r="E8" s="23" t="inlineStr">
        <is>
          <t>cancelled</t>
        </is>
      </c>
      <c r="F8" s="23" t="inlineStr">
        <is>
          <t>Cancelled</t>
        </is>
      </c>
      <c r="G8" s="23" t="inlineStr">
        <is>
          <t>wider</t>
        </is>
      </c>
      <c r="H8" s="23" t="inlineStr">
        <is>
          <t>DIFFERENT: IG leaves unmapped</t>
        </is>
      </c>
      <c r="I8" s="23" t="inlineStr">
        <is>
          <t>The code a v2.5 sender uses. Recognised since the ISSUE-01 fix.</t>
        </is>
      </c>
    </row>
    <row r="9" ht="15" customHeight="1" s="13">
      <c r="A9" s="23" t="inlineStr">
        <is>
          <t>SCH-25 / table 0278</t>
        </is>
      </c>
      <c r="B9" s="23" t="inlineStr">
        <is>
          <t>DC</t>
        </is>
      </c>
      <c r="C9" s="23" t="inlineStr">
        <is>
          <t>Discontinued (added v2.9)</t>
        </is>
      </c>
      <c r="D9" s="23" t="inlineStr">
        <is>
          <t>AppointmentStatus</t>
        </is>
      </c>
      <c r="E9" s="23" t="inlineStr">
        <is>
          <t>cancelled</t>
        </is>
      </c>
      <c r="F9" s="23" t="inlineStr">
        <is>
          <t>Cancelled</t>
        </is>
      </c>
      <c r="G9" s="23" t="inlineStr">
        <is>
          <t>wider</t>
        </is>
      </c>
      <c r="H9" s="23" t="inlineStr">
        <is>
          <t>DIFFERENT: IG leaves unmapped</t>
        </is>
      </c>
      <c r="I9" s="23" t="inlineStr">
        <is>
          <t>Matching is case-insensitive.</t>
        </is>
      </c>
    </row>
    <row r="10" ht="15" customHeight="1" s="13">
      <c r="A10" s="23" t="inlineStr">
        <is>
          <t>SCH-25 / table 0278</t>
        </is>
      </c>
      <c r="B10" s="23" t="inlineStr">
        <is>
          <t>Deleted</t>
        </is>
      </c>
      <c r="C10" s="23" t="inlineStr">
        <is>
          <t>Deleted</t>
        </is>
      </c>
      <c r="D10" s="23" t="inlineStr">
        <is>
          <t>AppointmentStatus</t>
        </is>
      </c>
      <c r="E10" s="23" t="inlineStr">
        <is>
          <t>entered-in-error</t>
        </is>
      </c>
      <c r="F10" s="23" t="inlineStr">
        <is>
          <t>Entered in error</t>
        </is>
      </c>
      <c r="G10" s="23" t="inlineStr">
        <is>
          <t>inexact</t>
        </is>
      </c>
      <c r="H10" s="23" t="inlineStr">
        <is>
          <t>Same</t>
        </is>
      </c>
      <c r="I10" s="23" t="n"/>
    </row>
    <row r="11" ht="15" customHeight="1" s="13">
      <c r="A11" s="23" t="inlineStr">
        <is>
          <t>SCH-25 / table 0278</t>
        </is>
      </c>
      <c r="B11" s="23" t="inlineStr">
        <is>
          <t>Blocked</t>
        </is>
      </c>
      <c r="C11" s="23" t="inlineStr">
        <is>
          <t>Blocked</t>
        </is>
      </c>
      <c r="D11" s="23" t="inlineStr">
        <is>
          <t>AppointmentStatus</t>
        </is>
      </c>
      <c r="E11" s="23" t="inlineStr">
        <is>
          <t>booked</t>
        </is>
      </c>
      <c r="F11" s="23" t="inlineStr">
        <is>
          <t>Booked</t>
        </is>
      </c>
      <c r="G11" s="23" t="inlineStr">
        <is>
          <t>inexact</t>
        </is>
      </c>
      <c r="H11" s="23" t="inlineStr">
        <is>
          <t>DIFFERENT: IG leaves unmapped</t>
        </is>
      </c>
      <c r="I11" s="23" t="inlineStr">
        <is>
          <t>No FHIR equivalent; time is held.</t>
        </is>
      </c>
    </row>
    <row r="12" ht="15" customHeight="1" s="13">
      <c r="A12" s="23" t="inlineStr">
        <is>
          <t>SCH-25 / table 0278</t>
        </is>
      </c>
      <c r="B12" s="23" t="inlineStr">
        <is>
          <t>Overbook</t>
        </is>
      </c>
      <c r="C12" s="23" t="inlineStr">
        <is>
          <t>Overbook</t>
        </is>
      </c>
      <c r="D12" s="23" t="inlineStr">
        <is>
          <t>AppointmentStatus</t>
        </is>
      </c>
      <c r="E12" s="23" t="inlineStr">
        <is>
          <t>booked</t>
        </is>
      </c>
      <c r="F12" s="23" t="inlineStr">
        <is>
          <t>Booked</t>
        </is>
      </c>
      <c r="G12" s="23" t="inlineStr">
        <is>
          <t>wider</t>
        </is>
      </c>
      <c r="H12" s="23" t="inlineStr">
        <is>
          <t>DIFFERENT: IG leaves unmapped</t>
        </is>
      </c>
      <c r="I12" s="23" t="n"/>
    </row>
    <row r="13" ht="15" customHeight="1" s="13">
      <c r="A13" s="23" t="inlineStr">
        <is>
          <t>SCH-25 / table 0278</t>
        </is>
      </c>
      <c r="B13" s="23" t="inlineStr">
        <is>
          <t>Noshow</t>
        </is>
      </c>
      <c r="C13" s="23" t="inlineStr">
        <is>
          <t>Noshow (v2.5+)</t>
        </is>
      </c>
      <c r="D13" s="23" t="inlineStr">
        <is>
          <t>AppointmentStatus</t>
        </is>
      </c>
      <c r="E13" s="23" t="inlineStr">
        <is>
          <t>noshow</t>
        </is>
      </c>
      <c r="F13" s="23" t="inlineStr">
        <is>
          <t>No Show</t>
        </is>
      </c>
      <c r="G13" s="23" t="inlineStr">
        <is>
          <t>equivalent</t>
        </is>
      </c>
      <c r="H13" s="23" t="inlineStr">
        <is>
          <t>Same</t>
        </is>
      </c>
      <c r="I13" s="23" t="n"/>
    </row>
    <row r="14" ht="22.35" customHeight="1" s="13">
      <c r="A14" s="23" t="inlineStr">
        <is>
          <t>SCH-25 / table 0278</t>
        </is>
      </c>
      <c r="B14" s="23" t="inlineStr">
        <is>
          <t>(any other / empty)</t>
        </is>
      </c>
      <c r="C14" s="23" t="n"/>
      <c r="D14" s="23" t="inlineStr">
        <is>
          <t>AppointmentStatus</t>
        </is>
      </c>
      <c r="E14" s="23" t="inlineStr">
        <is>
          <t>(event rule)</t>
        </is>
      </c>
      <c r="F14" s="23" t="n"/>
      <c r="G14" s="23" t="n"/>
      <c r="H14" s="23" t="n"/>
      <c r="I14" s="23" t="inlineStr">
        <is>
          <t>S12 -&gt; booked; S13/S14 -&gt; existing status (booked if new); S15 -&gt; cancelled regardless of SCH-25.</t>
        </is>
      </c>
    </row>
    <row r="15" ht="15" customHeight="1" s="13">
      <c r="A15" s="23" t="inlineStr">
        <is>
          <t>PID-8 / table 0001</t>
        </is>
      </c>
      <c r="B15" s="23" t="inlineStr">
        <is>
          <t>M</t>
        </is>
      </c>
      <c r="C15" s="23" t="inlineStr">
        <is>
          <t>Male</t>
        </is>
      </c>
      <c r="D15" s="23" t="inlineStr">
        <is>
          <t>AdministrativeGender</t>
        </is>
      </c>
      <c r="E15" s="23" t="inlineStr">
        <is>
          <t>male</t>
        </is>
      </c>
      <c r="F15" s="23" t="inlineStr">
        <is>
          <t>Male</t>
        </is>
      </c>
      <c r="G15" s="23" t="inlineStr">
        <is>
          <t>equivalent</t>
        </is>
      </c>
      <c r="H15" s="23" t="inlineStr">
        <is>
          <t>Same</t>
        </is>
      </c>
      <c r="I15" s="23" t="n"/>
    </row>
    <row r="16" ht="15" customHeight="1" s="13">
      <c r="A16" s="23" t="inlineStr">
        <is>
          <t>PID-8 / table 0001</t>
        </is>
      </c>
      <c r="B16" s="23" t="inlineStr">
        <is>
          <t>F</t>
        </is>
      </c>
      <c r="C16" s="23" t="inlineStr">
        <is>
          <t>Female</t>
        </is>
      </c>
      <c r="D16" s="23" t="inlineStr">
        <is>
          <t>AdministrativeGender</t>
        </is>
      </c>
      <c r="E16" s="23" t="inlineStr">
        <is>
          <t>female</t>
        </is>
      </c>
      <c r="F16" s="23" t="inlineStr">
        <is>
          <t>Female</t>
        </is>
      </c>
      <c r="G16" s="23" t="inlineStr">
        <is>
          <t>equivalent</t>
        </is>
      </c>
      <c r="H16" s="23" t="inlineStr">
        <is>
          <t>Same</t>
        </is>
      </c>
      <c r="I16" s="23" t="n"/>
    </row>
    <row r="17" ht="15" customHeight="1" s="13">
      <c r="A17" s="23" t="inlineStr">
        <is>
          <t>PID-8 / table 0001</t>
        </is>
      </c>
      <c r="B17" s="23" t="inlineStr">
        <is>
          <t>O</t>
        </is>
      </c>
      <c r="C17" s="23" t="inlineStr">
        <is>
          <t>Other</t>
        </is>
      </c>
      <c r="D17" s="23" t="inlineStr">
        <is>
          <t>AdministrativeGender</t>
        </is>
      </c>
      <c r="E17" s="23" t="inlineStr">
        <is>
          <t>other</t>
        </is>
      </c>
      <c r="F17" s="23" t="inlineStr">
        <is>
          <t>Other</t>
        </is>
      </c>
      <c r="G17" s="23" t="inlineStr">
        <is>
          <t>equivalent</t>
        </is>
      </c>
      <c r="H17" s="23" t="inlineStr">
        <is>
          <t>Same</t>
        </is>
      </c>
      <c r="I17" s="23" t="n"/>
    </row>
    <row r="18" ht="15" customHeight="1" s="13">
      <c r="A18" s="23" t="inlineStr">
        <is>
          <t>PID-8 / table 0001</t>
        </is>
      </c>
      <c r="B18" s="23" t="inlineStr">
        <is>
          <t>U</t>
        </is>
      </c>
      <c r="C18" s="23" t="inlineStr">
        <is>
          <t>Unknown</t>
        </is>
      </c>
      <c r="D18" s="23" t="inlineStr">
        <is>
          <t>AdministrativeGender</t>
        </is>
      </c>
      <c r="E18" s="23" t="inlineStr">
        <is>
          <t>unknown</t>
        </is>
      </c>
      <c r="F18" s="23" t="inlineStr">
        <is>
          <t>Unknown</t>
        </is>
      </c>
      <c r="G18" s="23" t="inlineStr">
        <is>
          <t>equivalent</t>
        </is>
      </c>
      <c r="H18" s="23" t="inlineStr">
        <is>
          <t>Same</t>
        </is>
      </c>
      <c r="I18" s="23" t="n"/>
    </row>
    <row r="19" ht="15" customHeight="1" s="13">
      <c r="A19" s="23" t="inlineStr">
        <is>
          <t>PID-8 / table 0001</t>
        </is>
      </c>
      <c r="B19" s="23" t="inlineStr">
        <is>
          <t>A</t>
        </is>
      </c>
      <c r="C19" s="23" t="inlineStr">
        <is>
          <t>Ambiguous</t>
        </is>
      </c>
      <c r="D19" s="23" t="inlineStr">
        <is>
          <t>AdministrativeGender</t>
        </is>
      </c>
      <c r="E19" s="23" t="inlineStr">
        <is>
          <t>other</t>
        </is>
      </c>
      <c r="F19" s="23" t="inlineStr">
        <is>
          <t>Other</t>
        </is>
      </c>
      <c r="G19" s="23" t="inlineStr">
        <is>
          <t>inexact</t>
        </is>
      </c>
      <c r="H19" s="23" t="inlineStr">
        <is>
          <t>Same</t>
        </is>
      </c>
      <c r="I19" s="23" t="n"/>
    </row>
    <row r="20" ht="15" customHeight="1" s="13">
      <c r="A20" s="23" t="inlineStr">
        <is>
          <t>PID-8 / table 0001</t>
        </is>
      </c>
      <c r="B20" s="23" t="inlineStr">
        <is>
          <t>N</t>
        </is>
      </c>
      <c r="C20" s="23" t="inlineStr">
        <is>
          <t>Not applicable</t>
        </is>
      </c>
      <c r="D20" s="23" t="inlineStr">
        <is>
          <t>AdministrativeGender</t>
        </is>
      </c>
      <c r="E20" s="23" t="inlineStr">
        <is>
          <t>unknown</t>
        </is>
      </c>
      <c r="F20" s="23" t="inlineStr">
        <is>
          <t>Unknown</t>
        </is>
      </c>
      <c r="G20" s="23" t="inlineStr">
        <is>
          <t>inexact</t>
        </is>
      </c>
      <c r="H20" s="23" t="inlineStr">
        <is>
          <t>DIFFERENT: IG -&gt; other</t>
        </is>
      </c>
      <c r="I20" s="23" t="inlineStr">
        <is>
          <t>See ISSUE-06.</t>
        </is>
      </c>
    </row>
    <row r="21" ht="15" customHeight="1" s="13">
      <c r="A21" s="23" t="inlineStr">
        <is>
          <t>PID-8 / table 0001</t>
        </is>
      </c>
      <c r="B21" s="23" t="inlineStr">
        <is>
          <t>(any other)</t>
        </is>
      </c>
      <c r="C21" s="23" t="n"/>
      <c r="D21" s="23" t="inlineStr">
        <is>
          <t>AdministrativeGender</t>
        </is>
      </c>
      <c r="E21" s="23" t="inlineStr">
        <is>
          <t>unknown</t>
        </is>
      </c>
      <c r="F21" s="23" t="inlineStr">
        <is>
          <t>Unknown</t>
        </is>
      </c>
      <c r="G21" s="23" t="n"/>
      <c r="H21" s="23" t="n"/>
      <c r="I21" s="23" t="inlineStr">
        <is>
          <t>Matched case-insensitively.</t>
        </is>
      </c>
    </row>
    <row r="22" ht="15" customHeight="1" s="13">
      <c r="A22" s="23" t="inlineStr">
        <is>
          <t>PID-5.7 / table 0200 †</t>
        </is>
      </c>
      <c r="B22" s="23" t="inlineStr">
        <is>
          <t>L</t>
        </is>
      </c>
      <c r="C22" s="23" t="inlineStr">
        <is>
          <t>Legal name</t>
        </is>
      </c>
      <c r="D22" s="23" t="inlineStr">
        <is>
          <t>NameUse</t>
        </is>
      </c>
      <c r="E22" s="23" t="inlineStr">
        <is>
          <t>official</t>
        </is>
      </c>
      <c r="F22" s="23" t="inlineStr">
        <is>
          <t>Official</t>
        </is>
      </c>
      <c r="G22" s="23" t="inlineStr">
        <is>
          <t>equivalent</t>
        </is>
      </c>
      <c r="H22" s="23" t="n"/>
      <c r="I22" s="23" t="inlineStr">
        <is>
          <t>Every other code: HumanName.use not set.</t>
        </is>
      </c>
    </row>
    <row r="23" ht="15" customHeight="1" s="13">
      <c r="A23" s="23" t="inlineStr">
        <is>
          <t>PID-13/14 XTN.3 / table 0202 †</t>
        </is>
      </c>
      <c r="B23" s="23" t="inlineStr">
        <is>
          <t>CP</t>
        </is>
      </c>
      <c r="C23" s="23" t="inlineStr">
        <is>
          <t>Cellular phone</t>
        </is>
      </c>
      <c r="D23" s="23" t="inlineStr">
        <is>
          <t>ContactPointUse</t>
        </is>
      </c>
      <c r="E23" s="23" t="inlineStr">
        <is>
          <t>mobile</t>
        </is>
      </c>
      <c r="F23" s="23" t="inlineStr">
        <is>
          <t>Mobile</t>
        </is>
      </c>
      <c r="G23" s="23" t="n"/>
      <c r="H23" s="23" t="n"/>
      <c r="I23" s="23" t="inlineStr">
        <is>
          <t>Overrides home/work. ContactPoint.system = phone.</t>
        </is>
      </c>
    </row>
    <row r="24" ht="15" customHeight="1" s="13">
      <c r="A24" s="23" t="inlineStr">
        <is>
          <t>PID-13/14 XTN.3 / table 0202 †</t>
        </is>
      </c>
      <c r="B24" s="23" t="inlineStr">
        <is>
          <t>Internet, X.400</t>
        </is>
      </c>
      <c r="C24" s="23" t="inlineStr">
        <is>
          <t>Internet / X.400 address</t>
        </is>
      </c>
      <c r="D24" s="23" t="inlineStr">
        <is>
          <t>ContactPointSystem</t>
        </is>
      </c>
      <c r="E24" s="23" t="inlineStr">
        <is>
          <t>email</t>
        </is>
      </c>
      <c r="F24" s="23" t="inlineStr">
        <is>
          <t>Email</t>
        </is>
      </c>
      <c r="G24" s="23" t="n"/>
      <c r="H24" s="23" t="n"/>
      <c r="I24" s="23" t="inlineStr">
        <is>
          <t>Only when XTN.4 holds an address. Equivalent trigger: XTN.2 = NET.</t>
        </is>
      </c>
    </row>
    <row r="25" ht="15" customHeight="1" s="13">
      <c r="A25" s="23" t="inlineStr">
        <is>
          <t>PID-13/14 (field)</t>
        </is>
      </c>
      <c r="B25" s="23" t="inlineStr">
        <is>
          <t>PID-13 / PID-14</t>
        </is>
      </c>
      <c r="C25" s="23" t="inlineStr">
        <is>
          <t>Home / business number</t>
        </is>
      </c>
      <c r="D25" s="23" t="inlineStr">
        <is>
          <t>ContactPointUse</t>
        </is>
      </c>
      <c r="E25" s="23" t="inlineStr">
        <is>
          <t>home / work</t>
        </is>
      </c>
      <c r="F25" s="23" t="inlineStr">
        <is>
          <t>Home / Work</t>
        </is>
      </c>
      <c r="G25" s="23" t="n"/>
      <c r="H25" s="23" t="n"/>
      <c r="I25" s="23" t="inlineStr">
        <is>
          <t>Everything else is ContactPoint.system = phone.</t>
        </is>
      </c>
    </row>
    <row r="26" ht="22.35" customHeight="1" s="13">
      <c r="A26" s="23" t="inlineStr">
        <is>
          <t>PID-3.5 / table 0203</t>
        </is>
      </c>
      <c r="B26" s="23" t="inlineStr">
        <is>
          <t>(any)</t>
        </is>
      </c>
      <c r="C26" s="23" t="inlineStr">
        <is>
          <t>Identifier type</t>
        </is>
      </c>
      <c r="D26" s="23" t="inlineStr">
        <is>
          <t>IdentifierType (v2-0203)</t>
        </is>
      </c>
      <c r="E26" s="23" t="inlineStr">
        <is>
          <t>same code</t>
        </is>
      </c>
      <c r="F26" s="23" t="n"/>
      <c r="G26" s="23" t="n"/>
      <c r="H26" s="23" t="n"/>
      <c r="I26" s="23" t="inlineStr">
        <is>
          <t>Passed through unchanged, not validated. AU examples: MR (medical record number), MC (Medicare number), NI (national unique individual identifier).</t>
        </is>
      </c>
    </row>
    <row r="27" ht="22.35" customHeight="1" s="13">
      <c r="A27" s="23" t="inlineStr">
        <is>
          <t>SCH-1 / SCH-2</t>
        </is>
      </c>
      <c r="B27" s="23" t="inlineStr">
        <is>
          <t>(field)</t>
        </is>
      </c>
      <c r="C27" s="23" t="inlineStr">
        <is>
          <t>Placer / filler ID</t>
        </is>
      </c>
      <c r="D27" s="23" t="inlineStr">
        <is>
          <t>Appointment Identifier Type (v2-0203)</t>
        </is>
      </c>
      <c r="E27" s="23" t="inlineStr">
        <is>
          <t>PLAC / FILL</t>
        </is>
      </c>
      <c r="F27" s="23" t="inlineStr">
        <is>
          <t>Placer Identifier / Filler Identifier</t>
        </is>
      </c>
      <c r="G27" s="23" t="n"/>
      <c r="H27" s="23" t="n"/>
      <c r="I27" s="23" t="inlineStr">
        <is>
          <t>Constant per field.</t>
        </is>
      </c>
    </row>
    <row r="28" ht="15" customHeight="1" s="13">
      <c r="A28" s="23" t="inlineStr">
        <is>
          <t>AIS/AIG/AIL/AIP-2 / table 0206 †</t>
        </is>
      </c>
      <c r="B28" s="23" t="inlineStr">
        <is>
          <t>D</t>
        </is>
      </c>
      <c r="C28" s="23" t="inlineStr">
        <is>
          <t>Delete</t>
        </is>
      </c>
      <c r="D28" s="23" t="inlineStr">
        <is>
          <t>(none)</t>
        </is>
      </c>
      <c r="E28" s="23" t="inlineStr">
        <is>
          <t>segment excluded</t>
        </is>
      </c>
      <c r="F28" s="23" t="n"/>
      <c r="G28" s="23" t="n"/>
      <c r="H28" s="23" t="n"/>
      <c r="I28" s="23" t="inlineStr">
        <is>
          <t>A, U and any other value: segment included.</t>
        </is>
      </c>
    </row>
    <row r="29" ht="15" customHeight="1" s="13">
      <c r="A29" s="23" t="inlineStr">
        <is>
          <t>SCH-10, AIS-8, AIG-12, AIL-10, AIP-10</t>
        </is>
      </c>
      <c r="B29" s="23" t="inlineStr">
        <is>
          <t>s, sec, second, seconds</t>
        </is>
      </c>
      <c r="C29" s="23" t="inlineStr">
        <is>
          <t>Seconds</t>
        </is>
      </c>
      <c r="D29" s="23" t="inlineStr">
        <is>
          <t>(n/a)</t>
        </is>
      </c>
      <c r="E29" s="23" t="inlineStr">
        <is>
          <t>x 1/60 minute</t>
        </is>
      </c>
      <c r="F29" s="23" t="n"/>
      <c r="G29" s="23" t="n"/>
      <c r="H29" s="23" t="n"/>
      <c r="I29" s="23" t="inlineStr">
        <is>
          <t>CE.1 only, case-insensitive.</t>
        </is>
      </c>
    </row>
    <row r="30" ht="15" customHeight="1" s="13">
      <c r="A30" s="23" t="inlineStr">
        <is>
          <t>SCH-10, AIS-8, AIG-12, AIL-10, AIP-10</t>
        </is>
      </c>
      <c r="B30" s="23" t="inlineStr">
        <is>
          <t>min, mins, minute, minutes</t>
        </is>
      </c>
      <c r="C30" s="23" t="inlineStr">
        <is>
          <t>Minutes</t>
        </is>
      </c>
      <c r="D30" s="23" t="inlineStr">
        <is>
          <t>(n/a)</t>
        </is>
      </c>
      <c r="E30" s="23" t="inlineStr">
        <is>
          <t>x 1 minute</t>
        </is>
      </c>
      <c r="F30" s="23" t="n"/>
      <c r="G30" s="23" t="n"/>
      <c r="H30" s="23" t="n"/>
      <c r="I30" s="23" t="inlineStr">
        <is>
          <t>Empty units are treated as minutes, with a warning.</t>
        </is>
      </c>
    </row>
    <row r="31" ht="15" customHeight="1" s="13">
      <c r="A31" s="23" t="inlineStr">
        <is>
          <t>SCH-10, AIS-8, AIG-12, AIL-10, AIP-10</t>
        </is>
      </c>
      <c r="B31" s="23" t="inlineStr">
        <is>
          <t>h, hr, hrs, hour, hours</t>
        </is>
      </c>
      <c r="C31" s="23" t="inlineStr">
        <is>
          <t>Hours</t>
        </is>
      </c>
      <c r="D31" s="23" t="inlineStr">
        <is>
          <t>(n/a)</t>
        </is>
      </c>
      <c r="E31" s="23" t="inlineStr">
        <is>
          <t>x 60 minutes</t>
        </is>
      </c>
      <c r="F31" s="23" t="n"/>
      <c r="G31" s="23" t="n"/>
      <c r="H31" s="23" t="n"/>
      <c r="I31" s="23" t="n"/>
    </row>
    <row r="32" ht="15" customHeight="1" s="13">
      <c r="A32" s="23" t="inlineStr">
        <is>
          <t>SCH-10, AIS-8, AIG-12, AIL-10, AIP-10</t>
        </is>
      </c>
      <c r="B32" s="23" t="inlineStr">
        <is>
          <t>d, day, days</t>
        </is>
      </c>
      <c r="C32" s="23" t="inlineStr">
        <is>
          <t>Days</t>
        </is>
      </c>
      <c r="D32" s="23" t="inlineStr">
        <is>
          <t>(n/a)</t>
        </is>
      </c>
      <c r="E32" s="23" t="inlineStr">
        <is>
          <t>x 1440 minutes</t>
        </is>
      </c>
      <c r="F32" s="23" t="n"/>
      <c r="G32" s="23" t="n"/>
      <c r="H32" s="23" t="n"/>
      <c r="I32" s="23" t="inlineStr">
        <is>
          <t>Any other unit -&gt; AE.</t>
        </is>
      </c>
    </row>
    <row r="33" ht="22.35" customHeight="1" s="13">
      <c r="A33" s="23" t="inlineStr">
        <is>
          <t>Any CE coding system (CE.3)</t>
        </is>
      </c>
      <c r="B33" s="23" t="inlineStr">
        <is>
          <t>HL70276</t>
        </is>
      </c>
      <c r="C33" s="23" t="inlineStr">
        <is>
          <t>HL7 table 0276</t>
        </is>
      </c>
      <c r="D33" s="23" t="inlineStr">
        <is>
          <t>Coding.system</t>
        </is>
      </c>
      <c r="E33" s="23" t="inlineStr">
        <is>
          <t>http://terminology.hl7.org/CodeSystem/v2-0276</t>
        </is>
      </c>
      <c r="F33" s="23" t="n"/>
      <c r="G33" s="23" t="n"/>
      <c r="H33" s="23" t="n"/>
      <c r="I33" s="23" t="n"/>
    </row>
    <row r="34" ht="22.35" customHeight="1" s="13">
      <c r="A34" s="23" t="inlineStr">
        <is>
          <t>Any CE coding system (CE.3)</t>
        </is>
      </c>
      <c r="B34" s="23" t="inlineStr">
        <is>
          <t>(any other value, e.g. LOCAL)</t>
        </is>
      </c>
      <c r="C34" s="23" t="inlineStr">
        <is>
          <t>Local code system</t>
        </is>
      </c>
      <c r="D34" s="23" t="inlineStr">
        <is>
          <t>Coding.system</t>
        </is>
      </c>
      <c r="E34" s="23" t="inlineStr">
        <is>
          <t>http://example.org/fhir/CodeSystem/v2-local/{CE.3}</t>
        </is>
      </c>
      <c r="F34" s="23" t="n"/>
      <c r="G34" s="23" t="n"/>
      <c r="H34" s="23" t="n"/>
      <c r="I34" s="23" t="inlineStr">
        <is>
          <t>Placeholder; replace with agreed code systems.</t>
        </is>
      </c>
    </row>
    <row r="35" ht="15" customHeight="1" s="13">
      <c r="A35" s="23" t="inlineStr">
        <is>
          <t>Any CE coding system (CE.3)</t>
        </is>
      </c>
      <c r="B35" s="23" t="inlineStr">
        <is>
          <t>(empty)</t>
        </is>
      </c>
      <c r="C35" s="23" t="n"/>
      <c r="D35" s="23" t="inlineStr">
        <is>
          <t>Coding.system</t>
        </is>
      </c>
      <c r="E35" s="23" t="inlineStr">
        <is>
          <t>(not set)</t>
        </is>
      </c>
      <c r="F35" s="23" t="n"/>
      <c r="G35" s="23" t="n"/>
      <c r="H35" s="23" t="n"/>
      <c r="I35" s="23" t="inlineStr">
        <is>
          <t>CE.1 -&gt; code, CE.2 -&gt; display and text (text = CE.1 if CE.2 empty).</t>
        </is>
      </c>
    </row>
  </sheetData>
  <conditionalFormatting sqref="H2:H35">
    <cfRule type="expression" rank="0" priority="2" equalAverage="0" aboveAverage="0" dxfId="12" text="" percent="0" bottom="0">
      <formula>ISNUMBER(SEARCH("DIFFERENT",$H2))</formula>
    </cfRule>
  </conditionalFormatting>
  <conditionalFormatting sqref="I2:I35">
    <cfRule type="expression" rank="0" priority="3" equalAverage="0" aboveAverage="0" dxfId="13" text="" percent="0" bottom="0">
      <formula>ISNUMBER(SEARCH("DEFECT",$I2))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16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8" customWidth="1" style="12" min="2" max="2"/>
    <col width="22" customWidth="1" style="12" min="3" max="3"/>
    <col width="72" customWidth="1" style="12" min="4" max="4"/>
    <col width="62" customWidth="1" style="12" min="5" max="5"/>
    <col width="10" customWidth="1" style="12" min="6" max="6"/>
  </cols>
  <sheetData>
    <row r="1" ht="31.5" customHeight="1" s="13">
      <c r="A1" s="22" t="inlineStr">
        <is>
          <t>ID</t>
        </is>
      </c>
      <c r="B1" s="22" t="inlineStr">
        <is>
          <t>Type</t>
        </is>
      </c>
      <c r="C1" s="22" t="inlineStr">
        <is>
          <t>SIU Element(s)</t>
        </is>
      </c>
      <c r="D1" s="22" t="inlineStr">
        <is>
          <t>Description</t>
        </is>
      </c>
      <c r="E1" s="22" t="inlineStr">
        <is>
          <t>Suggested Action / Resolution</t>
        </is>
      </c>
      <c r="F1" s="22" t="inlineStr">
        <is>
          <t>Status</t>
        </is>
      </c>
    </row>
    <row r="2" ht="32.8" customHeight="1" s="13">
      <c r="A2" s="23" t="inlineStr">
        <is>
          <t>ISSUE-01</t>
        </is>
      </c>
      <c r="B2" s="23" t="inlineStr">
        <is>
          <t>Defect (code)</t>
        </is>
      </c>
      <c r="C2" s="23" t="inlineStr">
        <is>
          <t>SCH-25</t>
        </is>
      </c>
      <c r="D2" s="23" t="inlineStr">
        <is>
          <t>The v2.5 filler status code 'Discontinued' isn't in the service's status map, so it is ignored with a warning and the appointment keeps its previous status. Only the v2.9 code 'DC' is recognised. Confirmed by test.</t>
        </is>
      </c>
      <c r="E2" s="23" t="inlineStr">
        <is>
          <t>FIXED 9 Oct 2026: 'discontinued' -&gt; cancelled added to FILLER_STATUS_MAP. Tests: test_discontinued_filler_status_cancels_appointment, test_every_table_0278_code_is_recognised.</t>
        </is>
      </c>
      <c r="F2" s="23" t="inlineStr">
        <is>
          <t>Fixed</t>
        </is>
      </c>
    </row>
    <row r="3" ht="32.8" customHeight="1" s="13">
      <c r="A3" s="23" t="inlineStr">
        <is>
          <t>ISSUE-02</t>
        </is>
      </c>
      <c r="B3" s="23" t="inlineStr">
        <is>
          <t>Defect (IG)</t>
        </is>
      </c>
      <c r="C3" s="23" t="inlineStr">
        <is>
          <t>SCH-25</t>
        </is>
      </c>
      <c r="D3" s="23" t="inlineStr">
        <is>
          <t>The IG ConceptMap HL70278ToAppointmentStatus uses source code 'Dc', which isn't a table 0278 code (the codes are 'DC' and 'Discontinued').</t>
        </is>
      </c>
      <c r="E3" s="23" t="inlineStr">
        <is>
          <t>FIXED 9 Oct 2026: ConceptMap now maps 'Discontinued' and 'DC'. Test: test_ig_conceptmap_matches_table_0278_and_service (also checks IG and service agree on every code).</t>
        </is>
      </c>
      <c r="F3" s="23" t="inlineStr">
        <is>
          <t>Fixed</t>
        </is>
      </c>
    </row>
    <row r="4" ht="43.25" customHeight="1" s="13">
      <c r="A4" s="23" t="inlineStr">
        <is>
          <t>ISSUE-03</t>
        </is>
      </c>
      <c r="B4" s="23" t="inlineStr">
        <is>
          <t>Deviation from IG</t>
        </is>
      </c>
      <c r="C4" s="23" t="inlineStr">
        <is>
          <t>SCH-7, SCH-8</t>
        </is>
      </c>
      <c r="D4" s="23" t="inlineStr">
        <is>
          <t>The service maps SCH-7 -&gt; Appointment.appointmentType and ignores SCH-8. The HL7 v2-to-FHIR IG maps SCH-7 -&gt; reasonCode and SCH-8 -&gt; appointmentType. FHIR R4 binds appointmentType to v2 table 0276 (SCH-7's table), and the IG notes this mismatch is a known problem.</t>
        </is>
      </c>
      <c r="E4" s="23" t="inlineStr">
        <is>
          <t>Decide which convention to follow and confirm what the sending system populates.</t>
        </is>
      </c>
      <c r="F4" s="23" t="inlineStr">
        <is>
          <t>Open</t>
        </is>
      </c>
    </row>
    <row r="5" ht="43.25" customHeight="1" s="13">
      <c r="A5" s="23" t="inlineStr">
        <is>
          <t>ISSUE-04</t>
        </is>
      </c>
      <c r="B5" s="23" t="inlineStr">
        <is>
          <t>Defect (code)</t>
        </is>
      </c>
      <c r="C5" s="23" t="inlineStr">
        <is>
          <t>PID-7</t>
        </is>
      </c>
      <c r="D5" s="23" t="inlineStr">
        <is>
          <t>A birth date not starting with 4 digits (e.g. 'UNKNOWN') raises an unhandled error, so no ACK is returned. A value like '1980-01-01' becomes the invalid FHIR date '1980--0-1-'. Both confirmed by test.</t>
        </is>
      </c>
      <c r="E5" s="23" t="inlineStr">
        <is>
          <t>FIXED 9 Oct 2026: PID-7 validated as DT/DTM; bad values -&gt; AE, ERR-3 102. Tests: test_valid_birth_dates_keep_precision, test_invalid_birth_date_returns_AE_and_writes_nothing, test_invalid_birth_date_over_mllp_still_gets_ack.</t>
        </is>
      </c>
      <c r="F5" s="23" t="inlineStr">
        <is>
          <t>Fixed</t>
        </is>
      </c>
    </row>
    <row r="6" ht="15" customHeight="1" s="13">
      <c r="A6" s="23" t="inlineStr">
        <is>
          <t>ISSUE-05</t>
        </is>
      </c>
      <c r="B6" s="23" t="inlineStr">
        <is>
          <t>Deviation from IG</t>
        </is>
      </c>
      <c r="C6" s="23" t="inlineStr">
        <is>
          <t>SCH-25 'Started'</t>
        </is>
      </c>
      <c r="D6" s="23" t="inlineStr">
        <is>
          <t>The service maps Started -&gt; arrived; the IG maps Started -&gt; checked-in (an R4 status).</t>
        </is>
      </c>
      <c r="E6" s="23" t="inlineStr">
        <is>
          <t>Consider checked-in to align with the IG.</t>
        </is>
      </c>
      <c r="F6" s="23" t="inlineStr">
        <is>
          <t>Open</t>
        </is>
      </c>
    </row>
    <row r="7" ht="15" customHeight="1" s="13">
      <c r="A7" s="23" t="inlineStr">
        <is>
          <t>ISSUE-06</t>
        </is>
      </c>
      <c r="B7" s="23" t="inlineStr">
        <is>
          <t>Deviation from IG</t>
        </is>
      </c>
      <c r="C7" s="23" t="inlineStr">
        <is>
          <t>PID-8 'N'</t>
        </is>
      </c>
      <c r="D7" s="23" t="inlineStr">
        <is>
          <t>The service maps N (not applicable) -&gt; unknown; the IG maps it -&gt; other.</t>
        </is>
      </c>
      <c r="E7" s="23" t="inlineStr">
        <is>
          <t>Align with the IG unless there's a local reason not to.</t>
        </is>
      </c>
      <c r="F7" s="23" t="inlineStr">
        <is>
          <t>Open</t>
        </is>
      </c>
    </row>
    <row r="8" ht="22.35" customHeight="1" s="13">
      <c r="A8" s="23" t="inlineStr">
        <is>
          <t>ISSUE-07</t>
        </is>
      </c>
      <c r="B8" s="23" t="inlineStr">
        <is>
          <t>Deviation from IG</t>
        </is>
      </c>
      <c r="C8" s="23" t="inlineStr">
        <is>
          <t>AIS/AIG/AIL/AIP timing</t>
        </is>
      </c>
      <c r="D8" s="23" t="inlineStr">
        <is>
          <t>The service rolls resource-segment timing up into Appointment.start/end. The IG maps it to each participant's period, and maps SCH-9 to minutesDuration.</t>
        </is>
      </c>
      <c r="E8" s="23" t="inlineStr">
        <is>
          <t>Acceptable for a PoC with one time window; revisit if resources have different times.</t>
        </is>
      </c>
      <c r="F8" s="23" t="inlineStr">
        <is>
          <t>Open</t>
        </is>
      </c>
    </row>
    <row r="9" ht="32.8" customHeight="1" s="13">
      <c r="A9" s="23" t="inlineStr">
        <is>
          <t>ISSUE-08</t>
        </is>
      </c>
      <c r="B9" s="23" t="inlineStr">
        <is>
          <t>Binding conformance</t>
        </is>
      </c>
      <c r="C9" s="23" t="inlineStr">
        <is>
          <t>AIP-4, AIG-4, AIL-4</t>
        </is>
      </c>
      <c r="D9" s="23" t="inlineStr">
        <is>
          <t>participant.type and Location.type have extensible bindings. Codes that exist in the bound value set (e.g. ATND in v3-ParticipationType) should use that code system, but the service writes them under a placeholder local system.</t>
        </is>
      </c>
      <c r="E9" s="23" t="inlineStr">
        <is>
          <t>Translate known codes (e.g. ATND -&gt; http://terminology.hl7.org/CodeSystem/v3-ParticipationType) and keep local codes only where no suitable code exists.</t>
        </is>
      </c>
      <c r="F9" s="23" t="inlineStr">
        <is>
          <t>Open</t>
        </is>
      </c>
    </row>
    <row r="10" ht="15" customHeight="1" s="13">
      <c r="A10" s="23" t="inlineStr">
        <is>
          <t>ISSUE-09</t>
        </is>
      </c>
      <c r="B10" s="23" t="inlineStr">
        <is>
          <t>Deviation from IG</t>
        </is>
      </c>
      <c r="C10" s="23" t="inlineStr">
        <is>
          <t>SCH-6</t>
        </is>
      </c>
      <c r="D10" s="23" t="inlineStr">
        <is>
          <t>SCH-6 -&gt; cancelationReason is a PoC choice; the IG leaves SCH-6 unmapped.</t>
        </is>
      </c>
      <c r="E10" s="23" t="inlineStr">
        <is>
          <t>Keep if useful; document as local.</t>
        </is>
      </c>
      <c r="F10" s="23" t="inlineStr">
        <is>
          <t>Open</t>
        </is>
      </c>
    </row>
    <row r="11" ht="15" customHeight="1" s="13">
      <c r="A11" s="23" t="inlineStr">
        <is>
          <t>ISSUE-10</t>
        </is>
      </c>
      <c r="B11" s="23" t="inlineStr">
        <is>
          <t>Not implemented</t>
        </is>
      </c>
      <c r="C11" s="23" t="inlineStr">
        <is>
          <t>AIS-10, AIP-12</t>
        </is>
      </c>
      <c r="D11" s="23" t="inlineStr">
        <is>
          <t>Resource-level filler status codes are ignored; all participants get status 'accepted'.</t>
        </is>
      </c>
      <c r="E11" s="23" t="inlineStr">
        <is>
          <t>Map AIP-12 -&gt; participant.status if the sender populates it.</t>
        </is>
      </c>
      <c r="F11" s="23" t="inlineStr">
        <is>
          <t>Open</t>
        </is>
      </c>
    </row>
    <row r="12" ht="22.35" customHeight="1" s="13">
      <c r="A12" s="23" t="inlineStr">
        <is>
          <t>ISSUE-11</t>
        </is>
      </c>
      <c r="B12" s="23" t="inlineStr">
        <is>
          <t>Not implemented</t>
        </is>
      </c>
      <c r="C12" s="23" t="inlineStr">
        <is>
          <t>SCH-12/16/20, SCH-26/27, PV1, DG1, OBX, MSH</t>
        </is>
      </c>
      <c r="D12" s="23" t="inlineStr">
        <is>
          <t>IG maps these to extra participants, ServiceRequest (basedOn), Encounter, Condition, Observation, MessageHeader and Provenance.</t>
        </is>
      </c>
      <c r="E12" s="23" t="inlineStr">
        <is>
          <t>Out of scope for the PoC.</t>
        </is>
      </c>
      <c r="F12" s="23" t="inlineStr">
        <is>
          <t>Open</t>
        </is>
      </c>
    </row>
    <row r="13" ht="22.35" customHeight="1" s="13">
      <c r="A13" s="23" t="inlineStr">
        <is>
          <t>ISSUE-12</t>
        </is>
      </c>
      <c r="B13" s="23" t="inlineStr">
        <is>
          <t>Deviation from IG</t>
        </is>
      </c>
      <c r="C13" s="23" t="inlineStr">
        <is>
          <t>NTE</t>
        </is>
      </c>
      <c r="D13" s="23" t="inlineStr">
        <is>
          <t>All NTE segments are joined into Appointment.comment, including those under AIG/AIL/AIP groups that the IG leaves unmapped.</t>
        </is>
      </c>
      <c r="E13" s="23" t="inlineStr">
        <is>
          <t>Restrict to message-level and AIS-group NTEs if needed.</t>
        </is>
      </c>
      <c r="F13" s="23" t="inlineStr">
        <is>
          <t>Open</t>
        </is>
      </c>
    </row>
    <row r="14" ht="15" customHeight="1" s="13">
      <c r="A14" s="23" t="inlineStr">
        <is>
          <t>ISSUE-13</t>
        </is>
      </c>
      <c r="B14" s="23" t="inlineStr">
        <is>
          <t>Assumption</t>
        </is>
      </c>
      <c r="C14" s="23" t="inlineStr">
        <is>
          <t>Identifier and code systems</t>
        </is>
      </c>
      <c r="D14" s="23" t="inlineStr">
        <is>
          <t>All identifier systems and local code systems are example.org placeholders.</t>
        </is>
      </c>
      <c r="E14" s="23" t="inlineStr">
        <is>
          <t>Agree real systems (e.g. IHI, Medicare, HPI-I, local MRN) before any real use.</t>
        </is>
      </c>
      <c r="F14" s="23" t="inlineStr">
        <is>
          <t>Open</t>
        </is>
      </c>
    </row>
    <row r="15" ht="15" customHeight="1" s="13">
      <c r="A15" s="23" t="inlineStr">
        <is>
          <t>ISSUE-14</t>
        </is>
      </c>
      <c r="B15" s="23" t="inlineStr">
        <is>
          <t>Assumption</t>
        </is>
      </c>
      <c r="C15" s="23" t="inlineStr">
        <is>
          <t>Timestamps</t>
        </is>
      </c>
      <c r="D15" s="23" t="inlineStr">
        <is>
          <t>HL7 timestamps without a UTC offset are assumed to be in DEFAULT_TZ (Australia/Brisbane).</t>
        </is>
      </c>
      <c r="E15" s="23" t="inlineStr">
        <is>
          <t>Confirm the sender's convention.</t>
        </is>
      </c>
      <c r="F15" s="23" t="inlineStr">
        <is>
          <t>Open</t>
        </is>
      </c>
    </row>
    <row r="16" ht="32.8" customHeight="1" s="13">
      <c r="A16" s="23" t="inlineStr">
        <is>
          <t>ISSUE-15</t>
        </is>
      </c>
      <c r="B16" s="23" t="inlineStr">
        <is>
          <t>Defect (code)</t>
        </is>
      </c>
      <c r="C16" s="23" t="inlineStr">
        <is>
          <t>MSH-7, SCH-11, AIS/AIG/AIL/AIP timing and duration</t>
        </is>
      </c>
      <c r="D16" s="23" t="inlineStr">
        <is>
          <t>Found while fixing ISSUE-04: an out-of-range timestamp (e.g. month 13) or a duration of nan/inf raised an unhandled error, so no ACK was returned; negative durations were accepted.</t>
        </is>
      </c>
      <c r="E16" s="23" t="inlineStr">
        <is>
          <t>FIXED 9 Oct 2026. Tests: test_out_of_range_timestamp_returns_AE, test_bad_duration_returns_AE, test_unexpected_error_still_returns_ack.</t>
        </is>
      </c>
      <c r="F16" s="23" t="inlineStr">
        <is>
          <t>Fixed</t>
        </is>
      </c>
    </row>
  </sheetData>
  <conditionalFormatting sqref="A2:F16">
    <cfRule type="expression" rank="0" priority="2" equalAverage="0" aboveAverage="0" dxfId="8" text="" percent="0" bottom="0">
      <formula>$F2="Fixed"</formula>
    </cfRule>
  </conditionalFormatting>
  <conditionalFormatting sqref="B2:B16">
    <cfRule type="expression" rank="0" priority="3" equalAverage="0" aboveAverage="0" dxfId="13" text="" percent="0" bottom="0">
      <formula>AND(LEFT($B2,6)="Defect",$F2="Open")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L2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2" min="1" max="1"/>
    <col width="13" customWidth="1" style="12" min="2" max="2"/>
    <col width="22" customWidth="1" style="12" min="3" max="3"/>
    <col width="30" customWidth="1" style="12" min="4" max="4"/>
    <col width="46" customWidth="1" style="12" min="5" max="6"/>
    <col width="16" customWidth="1" style="12" min="7" max="7"/>
    <col width="22" customWidth="1" style="12" min="8" max="8"/>
    <col width="40" customWidth="1" style="12" min="9" max="9"/>
    <col width="34" customWidth="1" style="12" min="10" max="10"/>
    <col width="56" customWidth="1" style="12" min="11" max="11"/>
    <col width="18" customWidth="1" style="12" min="12" max="12"/>
  </cols>
  <sheetData>
    <row r="1" ht="31.5" customHeight="1" s="13">
      <c r="A1" s="22" t="inlineStr">
        <is>
          <t>ID</t>
        </is>
      </c>
      <c r="B1" s="22" t="inlineStr">
        <is>
          <t>Area</t>
        </is>
      </c>
      <c r="C1" s="22" t="inlineStr">
        <is>
          <t>SIU Element(s)</t>
        </is>
      </c>
      <c r="D1" s="22" t="inlineStr">
        <is>
          <t>Base PoC Mapping</t>
        </is>
      </c>
      <c r="E1" s="22" t="inlineStr">
        <is>
          <t>AU Core v2.0.0 Requirement</t>
        </is>
      </c>
      <c r="F1" s="22" t="inlineStr">
        <is>
          <t>Proposed AU Core Mapping (9 Oct)</t>
        </is>
      </c>
      <c r="G1" s="22" t="inlineStr">
        <is>
          <t>Change Type</t>
        </is>
      </c>
      <c r="H1" s="22" t="inlineStr">
        <is>
          <t>Impact</t>
        </is>
      </c>
      <c r="I1" s="22" t="inlineStr">
        <is>
          <t>Verification / Confidence</t>
        </is>
      </c>
      <c r="J1" s="22" t="inlineStr">
        <is>
          <t>Source</t>
        </is>
      </c>
      <c r="K1" s="22" t="inlineStr">
        <is>
          <t>AU Core Build - As Implemented (26 Oct)</t>
        </is>
      </c>
      <c r="L1" s="22" t="inlineStr">
        <is>
          <t>Build Status</t>
        </is>
      </c>
    </row>
    <row r="2" ht="64.15000000000001" customHeight="1" s="13">
      <c r="A2" s="23" t="inlineStr">
        <is>
          <t>AUC-01</t>
        </is>
      </c>
      <c r="B2" s="23" t="inlineStr">
        <is>
          <t>Build</t>
        </is>
      </c>
      <c r="C2" s="23" t="inlineStr">
        <is>
          <t>(all)</t>
        </is>
      </c>
      <c r="D2" s="23" t="inlineStr">
        <is>
          <t>Base FHIR R4 resources; PoC IG has no dependencies.</t>
        </is>
      </c>
      <c r="E2" s="23" t="inlineStr">
        <is>
          <t>AU Core 2.0.0 (FHIR 4.0.1) depends on AU Base 6.0.0. Profiles exist for Patient, Practitioner, PractitionerRole, Location, Organization; there is NO AU Core (or AU Base) Appointment profile.</t>
        </is>
      </c>
      <c r="F2" s="23" t="inlineStr">
        <is>
          <t>Separate 'au-core' build: Patient, Practitioner, Location (and new Organization) built to AU Core; Appointment stays on the PoC SIUAppointment profile (base R4) but its participant.actor references target AU Core Patient / Practitioner / Location. IG variant depends on hl7.fhir.au.core#2.0.0.</t>
        </is>
      </c>
      <c r="G2" s="23" t="inlineStr">
        <is>
          <t>Build change</t>
        </is>
      </c>
      <c r="H2" s="23" t="inlineStr">
        <is>
          <t>Required - non-conformant (validation error) if not done</t>
        </is>
      </c>
      <c r="I2" s="23" t="inlineStr">
        <is>
          <t>Verified: versions, dependency and profile list from the AU Core 2.0.0 home and profiles pages.</t>
        </is>
      </c>
      <c r="J2" s="23" t="inlineStr">
        <is>
          <t>https://hl7.org.au/fhir/core/</t>
        </is>
      </c>
      <c r="K2" s="23" t="inlineStr">
        <is>
          <t>Separate code base siu-fhir-au-core (package siu2fhir_au). IG depends on hl7.fhir.au.core 2.0.0 and hl7.fhir.au.base 6.0.0; defines SIU AU Appointment (participant.actor -&gt; AU Core Patient/Practitioner/PractitionerRole/Location).</t>
        </is>
      </c>
      <c r="L2" s="23" t="inlineStr">
        <is>
          <t>Implemented as proposed</t>
        </is>
      </c>
    </row>
    <row r="3" ht="53.7" customHeight="1" s="13">
      <c r="A3" s="23" t="inlineStr">
        <is>
          <t>AUC-02</t>
        </is>
      </c>
      <c r="B3" s="23" t="inlineStr">
        <is>
          <t>Build</t>
        </is>
      </c>
      <c r="C3" s="23" t="inlineStr">
        <is>
          <t>(all)</t>
        </is>
      </c>
      <c r="D3" s="23" t="inlineStr">
        <is>
          <t>No profile claims; validated only against base R4 by HAPI.</t>
        </is>
      </c>
      <c r="E3" s="23" t="inlineStr">
        <is>
          <t>Conformance is to the AU Core profiles.</t>
        </is>
      </c>
      <c r="F3" s="23" t="inlineStr">
        <is>
          <t>Optionally set meta.profile to the AU Core canonical URLs, and load hl7.fhir.au.core 2.0.0 + hl7.fhir.au.base 6.0.0 into HAPI so writes are validated. AU value sets (e.g. states, indigenous status) need an AU-capable terminology server (tx.hl7.org.au) for full code validation.</t>
        </is>
      </c>
      <c r="G3" s="23" t="inlineStr">
        <is>
          <t>Build change</t>
        </is>
      </c>
      <c r="H3" s="23" t="inlineStr">
        <is>
          <t>Recommended (SHOULD) / better conformance</t>
        </is>
      </c>
      <c r="I3" s="23" t="inlineStr">
        <is>
          <t>Not verified: AU Core canonical URL pattern and the HAPI configuration needed to load packages / external terminology. Check before relying on it.</t>
        </is>
      </c>
      <c r="J3" s="23" t="inlineStr">
        <is>
          <t>https://hl7.org.au/fhir/core/</t>
        </is>
      </c>
      <c r="K3" s="23" t="inlineStr">
        <is>
          <t>meta.profile set to AU Core canonicals (switch: SET_META_PROFILE). HAPI validation against AU Core not configured; IG Publisher validates the examples.</t>
        </is>
      </c>
      <c r="L3" s="23" t="inlineStr">
        <is>
          <t>Implemented as proposed</t>
        </is>
      </c>
    </row>
    <row r="4" ht="43.25" customHeight="1" s="13">
      <c r="A4" s="23" t="inlineStr">
        <is>
          <t>AUC-03</t>
        </is>
      </c>
      <c r="B4" s="23" t="inlineStr">
        <is>
          <t>Build</t>
        </is>
      </c>
      <c r="C4" s="23" t="inlineStr">
        <is>
          <t>(all)</t>
        </is>
      </c>
      <c r="D4" s="23" t="inlineStr">
        <is>
          <t>Missing source values are simply omitted.</t>
        </is>
      </c>
      <c r="E4" s="23" t="inlineStr">
        <is>
          <t>Mandatory (1..1 / 1..*) elements SHALL be present even when the value is unknown: coded elements use the value set's 'unknown' concept if it has one; otherwise use the data-absent-reason extension with code 'unknown'.</t>
        </is>
      </c>
      <c r="F4" s="23" t="inlineStr">
        <is>
          <t>Add a missing-data step to the AU Core build (see AUC-06, AUC-07, AUC-08).</t>
        </is>
      </c>
      <c r="G4" s="23" t="inlineStr">
        <is>
          <t>New rule</t>
        </is>
      </c>
      <c r="H4" s="23" t="inlineStr">
        <is>
          <t>Required - non-conformant (validation error) if not done</t>
        </is>
      </c>
      <c r="I4" s="23" t="inlineStr">
        <is>
          <t>Verified: AU Core General Requirements, missing data section.</t>
        </is>
      </c>
      <c r="J4" s="23" t="inlineStr">
        <is>
          <t>https://hl7.org.au/fhir/core/general-requirements.html</t>
        </is>
      </c>
      <c r="K4" s="23" t="inlineStr">
        <is>
          <t>Missing-data rules for gender, birthDate and name (AUC-08 to AUC-10).</t>
        </is>
      </c>
      <c r="L4" s="23" t="inlineStr">
        <is>
          <t>Implemented as proposed</t>
        </is>
      </c>
    </row>
    <row r="5" ht="53.7" customHeight="1" s="13">
      <c r="A5" s="23" t="inlineStr">
        <is>
          <t>AUC-04</t>
        </is>
      </c>
      <c r="B5" s="23" t="inlineStr">
        <is>
          <t>Patient</t>
        </is>
      </c>
      <c r="C5" s="23" t="inlineStr">
        <is>
          <t>PID-3 (CX.5 = NI, CX.4 = AUSHIC)</t>
        </is>
      </c>
      <c r="D5" s="23" t="inlineStr">
        <is>
          <t>identifier.system = {base}/patient/{CX.4}/{CX.5}; type v2-0203#{CX.5}.</t>
        </is>
      </c>
      <c r="E5" s="23" t="inlineStr">
        <is>
          <t>AU Core Patient slice identifier:ihi (0..1) = AU IHI: type v2-0203#NI, system fixed http://ns.electronichealth.net.au/id/hi/ihi/1.0, value exactly 16 digits, prefix 800360, Luhn check (all errors). SHOULD populate IHI in preference to Medicare or DVA.</t>
        </is>
      </c>
      <c r="F5" s="23" t="inlineStr">
        <is>
          <t>Recognise IHI (CX.5 = NI) and set the fixed IHI system. Validate 16 digits / 800360 / Luhn; an invalid IHI is dropped with a warning (or the message gets AE - decision needed). Optional IHI status / record status / verified date extensions have no SIU source.</t>
        </is>
      </c>
      <c r="G5" s="23" t="inlineStr">
        <is>
          <t>Changed mapping</t>
        </is>
      </c>
      <c r="H5" s="23" t="inlineStr">
        <is>
          <t>Required - non-conformant (validation error) if not done</t>
        </is>
      </c>
      <c r="I5" s="23" t="inlineStr">
        <is>
          <t>Verified: AU IHI profile. The v2 convention AUSHIC^NI comes from a Health Intersections blog post citing AS 4700.1 (not checked against the standard itself) - confirm with the sending system.</t>
        </is>
      </c>
      <c r="J5" s="23" t="inlineStr">
        <is>
          <t>https://hl7.org.au/fhir/6.0.0/StructureDefinition-au-ihi.html</t>
        </is>
      </c>
      <c r="K5" s="23" t="inlineStr">
        <is>
          <t>IHI recognised by CX.5 NI (or AUSHIC + 800360 prefix); fixed system; 16 digits / prefix / Luhn checked. Invalid IHI dropped with a warning (no AE).</t>
        </is>
      </c>
      <c r="L5" s="23" t="inlineStr">
        <is>
          <t>Implemented as proposed</t>
        </is>
      </c>
    </row>
    <row r="6" ht="53.7" customHeight="1" s="13">
      <c r="A6" s="23" t="inlineStr">
        <is>
          <t>AUC-05</t>
        </is>
      </c>
      <c r="B6" s="23" t="inlineStr">
        <is>
          <t>Patient</t>
        </is>
      </c>
      <c r="C6" s="23" t="inlineStr">
        <is>
          <t>PID-3 (CX.5 = MC, CX.4 = AUSHIC)</t>
        </is>
      </c>
      <c r="D6" s="23" t="inlineStr">
        <is>
          <t>identifier.system = {base}/patient/AUSHIC/MC.</t>
        </is>
      </c>
      <c r="E6" s="23" t="inlineStr">
        <is>
          <t>Slice identifier:medicare (0..*) = AU Medicare Card Number: type v2-0203#MC, system fixed http://ns.electronichealth.net.au/id/medicare-number, value 10-11 characters (11 includes the IRN). period.end = card expiry.</t>
        </is>
      </c>
      <c r="F6" s="23" t="inlineStr">
        <is>
          <t>Recognise Medicare (CX.5 = MC); set the fixed system; check length 10-11. CX.8 (expiration date) could map to period.end if the sender populates it.</t>
        </is>
      </c>
      <c r="G6" s="23" t="inlineStr">
        <is>
          <t>Changed mapping</t>
        </is>
      </c>
      <c r="H6" s="23" t="inlineStr">
        <is>
          <t>Required - non-conformant (validation error) if not done</t>
        </is>
      </c>
      <c r="I6" s="23" t="inlineStr">
        <is>
          <t>Verified: AU Medicare Card Number profile. Convention AUSHIC^MC as for AUC-04 (blog, not the standard).</t>
        </is>
      </c>
      <c r="J6" s="23" t="inlineStr">
        <is>
          <t>https://hl7.org.au/fhir/6.0.0/StructureDefinition-au-medicarecardnumber.html</t>
        </is>
      </c>
      <c r="K6" s="23" t="inlineStr">
        <is>
          <t>Fixed Medicare system; 10-11 digits checked, else dropped with a warning. CX.8 -&gt; period.end.</t>
        </is>
      </c>
      <c r="L6" s="23" t="inlineStr">
        <is>
          <t>Implemented as proposed</t>
        </is>
      </c>
    </row>
    <row r="7" ht="43.25" customHeight="1" s="13">
      <c r="A7" s="23" t="inlineStr">
        <is>
          <t>AUC-06</t>
        </is>
      </c>
      <c r="B7" s="23" t="inlineStr">
        <is>
          <t>Patient</t>
        </is>
      </c>
      <c r="C7" s="23" t="inlineStr">
        <is>
          <t>PID-3 (CX.4 = AUSDVA)</t>
        </is>
      </c>
      <c r="D7" s="23" t="inlineStr">
        <is>
          <t>identifier.system = {base}/patient/AUSDVA/{CX.5}.</t>
        </is>
      </c>
      <c r="E7" s="23" t="inlineStr">
        <is>
          <t>Slice identifier:dva (0..1) = AU DVA Number: system fixed http://ns.electronichealth.net.au/id/dva, value max 9 chars, type 1..1 bound (required) to DVA Entitlement value set.</t>
        </is>
      </c>
      <c r="F7" s="23" t="inlineStr">
        <is>
          <t>Recognise DVA by assigning authority AUSDVA (table 0363); set the fixed system. identifier.type must come from DVA Entitlement - SIU has no obvious source, so this needs agreement with the sender (or omit the DVA number).</t>
        </is>
      </c>
      <c r="G7" s="23" t="inlineStr">
        <is>
          <t>Changed mapping</t>
        </is>
      </c>
      <c r="H7" s="23" t="inlineStr">
        <is>
          <t>Required - non-conformant (validation error) if not done</t>
        </is>
      </c>
      <c r="I7" s="23" t="inlineStr">
        <is>
          <t>Verified: AU DVA Number profile and AUSDVA in v2.4 table 0363. NOT verified: how a sender carries the DVA entitlement colour/type in v2.</t>
        </is>
      </c>
      <c r="J7" s="23" t="inlineStr">
        <is>
          <t>https://hl7.org.au/fhir/6.0.0/StructureDefinition-au-dvanumber.html</t>
        </is>
      </c>
      <c r="K7" s="23" t="inlineStr">
        <is>
          <t>DVA numbers (CX.4 AUSDVA) kept as a generic local identifier with a warning; not sent as AU DVA Number because SIU has no DVA entitlement type.</t>
        </is>
      </c>
      <c r="L7" s="23" t="inlineStr">
        <is>
          <t>Implemented differently</t>
        </is>
      </c>
    </row>
    <row r="8" ht="43.25" customHeight="1" s="13">
      <c r="A8" s="23" t="inlineStr">
        <is>
          <t>AUC-07</t>
        </is>
      </c>
      <c r="B8" s="23" t="inlineStr">
        <is>
          <t>Patient</t>
        </is>
      </c>
      <c r="C8" s="23" t="inlineStr">
        <is>
          <t>PID-3 (CX.5 = MR or PI)</t>
        </is>
      </c>
      <c r="D8" s="23" t="inlineStr">
        <is>
          <t>identifier.system = {base}/patient/{CX.4}/{CX.5}; no assigner.</t>
        </is>
      </c>
      <c r="E8" s="23" t="inlineStr">
        <is>
          <t>Allowed types include AU Medical Record Number (type MR) and AU Patient Internal Identifier (type PI). Both require system (organisation's own namespace) AND assigner.display (name of the assigning organisation), 1..1.</t>
        </is>
      </c>
      <c r="F8" s="23" t="inlineStr">
        <is>
          <t>Configuration table per CX.4 assigning authority: system URI (organisation namespace, or HPI-O/ABN-based per AU Base business identifier guidance) and organisation display name -&gt; identifier.assigner.display.</t>
        </is>
      </c>
      <c r="G8" s="23" t="inlineStr">
        <is>
          <t>Changed mapping + config</t>
        </is>
      </c>
      <c r="H8" s="23" t="inlineStr">
        <is>
          <t>Recommended (SHOULD) / better conformance</t>
        </is>
      </c>
      <c r="I8" s="23" t="inlineStr">
        <is>
          <t>Verified: both identifier profiles. Patient.identifier allows plain Identifier as well, so an MRN without assigner is still valid - but it won't conform to the AU MRN profile.</t>
        </is>
      </c>
      <c r="J8" s="23" t="inlineStr">
        <is>
          <t>https://hl7.org.au/fhir/6.0.0/StructureDefinition-au-medicalrecordnumber.html</t>
        </is>
      </c>
      <c r="K8" s="23" t="inlineStr">
        <is>
          <t>MR: system by fixed rule http://example.org/fhir/sid/mrn/&lt;PID-3.4&gt; (MRN_SYSTEM_BASE), NO assigner - plain identifier, not the AU MRN profile. PI: {base}/patient/&lt;PID-3.4&gt;/PI, no assigner. No registry.</t>
        </is>
      </c>
      <c r="L8" s="23" t="inlineStr">
        <is>
          <t>Implemented differently</t>
        </is>
      </c>
    </row>
    <row r="9" ht="53.7" customHeight="1" s="13">
      <c r="A9" s="23" t="inlineStr">
        <is>
          <t>AUC-08</t>
        </is>
      </c>
      <c r="B9" s="23" t="inlineStr">
        <is>
          <t>Patient</t>
        </is>
      </c>
      <c r="C9" s="23" t="inlineStr">
        <is>
          <t>PID-5</t>
        </is>
      </c>
      <c r="D9" s="23" t="inlineStr">
        <is>
          <t>HumanName only when family or given present; no name if PID-5 is empty.</t>
        </is>
      </c>
      <c r="E9" s="23" t="inlineStr">
        <is>
          <t>name 1..*. au-core-pat-02 (error): a family name, xor a data-absent-reason extension on name. au-core-pat-03 (error): each name has text, family or given, xor data-absent-reason. name.use, text, family, given are Must Support.</t>
        </is>
      </c>
      <c r="F9" s="23" t="inlineStr">
        <is>
          <t>If PID-5 has no family name, add name with data-absent-reason 'unknown' (keeping any given names only if the invariants still pass); if PID-5 is empty, add a name containing only the data-absent-reason extension. Optionally populate name.text from the XPN components.</t>
        </is>
      </c>
      <c r="G9" s="23" t="inlineStr">
        <is>
          <t>New rule</t>
        </is>
      </c>
      <c r="H9" s="23" t="inlineStr">
        <is>
          <t>Required - non-conformant (validation error) if not done</t>
        </is>
      </c>
      <c r="I9" s="23" t="inlineStr">
        <is>
          <t>Verified: invariant text and expressions on the AU Core Patient page.</t>
        </is>
      </c>
      <c r="J9" s="23" t="inlineStr">
        <is>
          <t>https://hl7.org.au/fhir/core/StructureDefinition-au-core-patient.html</t>
        </is>
      </c>
      <c r="K9" s="23" t="inlineStr">
        <is>
          <t>name.text added. If no name has a family name, a separate name holding only data-absent-reason is added (satisfies both au-core-pat-02 and au-core-pat-03).</t>
        </is>
      </c>
      <c r="L9" s="23" t="inlineStr">
        <is>
          <t>Implemented as proposed</t>
        </is>
      </c>
    </row>
    <row r="10" ht="32.8" customHeight="1" s="13">
      <c r="A10" s="23" t="inlineStr">
        <is>
          <t>AUC-09</t>
        </is>
      </c>
      <c r="B10" s="23" t="inlineStr">
        <is>
          <t>Patient</t>
        </is>
      </c>
      <c r="C10" s="23" t="inlineStr">
        <is>
          <t>PID-8</t>
        </is>
      </c>
      <c r="D10" s="23" t="inlineStr">
        <is>
          <t>gender omitted when PID-8 empty.</t>
        </is>
      </c>
      <c r="E10" s="23" t="inlineStr">
        <is>
          <t>gender 1..1 Must Support, required binding AdministrativeGender. AU Core: gender is regarded as a Recorded Sex or Gender.</t>
        </is>
      </c>
      <c r="F10" s="23" t="inlineStr">
        <is>
          <t>If PID-8 is empty, set gender = 'unknown' (the value set's own unknown code, per the missing-data rule). Non-empty mapping unchanged (see code sets sheet).</t>
        </is>
      </c>
      <c r="G10" s="23" t="inlineStr">
        <is>
          <t>Behaviour change</t>
        </is>
      </c>
      <c r="H10" s="23" t="inlineStr">
        <is>
          <t>Required - non-conformant (validation error) if not done</t>
        </is>
      </c>
      <c r="I10" s="23" t="inlineStr">
        <is>
          <t>Verified: cardinality and binding. The 'use unknown code' rule is from General Requirements; AU Core doesn't name Patient.gender specifically.</t>
        </is>
      </c>
      <c r="J10" s="23" t="inlineStr">
        <is>
          <t>https://hl7.org.au/fhir/core/StructureDefinition-au-core-patient.html</t>
        </is>
      </c>
      <c r="K10" s="23" t="inlineStr">
        <is>
          <t>Empty PID-8 -&gt; gender 'unknown'.</t>
        </is>
      </c>
      <c r="L10" s="23" t="inlineStr">
        <is>
          <t>Implemented as proposed</t>
        </is>
      </c>
    </row>
    <row r="11" ht="32.8" customHeight="1" s="13">
      <c r="A11" s="23" t="inlineStr">
        <is>
          <t>AUC-10</t>
        </is>
      </c>
      <c r="B11" s="23" t="inlineStr">
        <is>
          <t>Patient</t>
        </is>
      </c>
      <c r="C11" s="23" t="inlineStr">
        <is>
          <t>PID-7</t>
        </is>
      </c>
      <c r="D11" s="23" t="inlineStr">
        <is>
          <t>birthDate omitted when PID-7 empty (invalid values -&gt; AE since ISSUE-04 fix).</t>
        </is>
      </c>
      <c r="E11" s="23" t="inlineStr">
        <is>
          <t>birthDate 1..1 Must Support. inv-pat-0: if the birthTime extension is present its date must equal birthDate. Optional accuracyIndicator extension.</t>
        </is>
      </c>
      <c r="F11" s="23" t="inlineStr">
        <is>
          <t>If PID-7 is empty, send _birthDate with data-absent-reason 'unknown' (the example AU Core gives). Optional: when PID-7 includes a time, add the patient-birthTime extension.</t>
        </is>
      </c>
      <c r="G11" s="23" t="inlineStr">
        <is>
          <t>Behaviour change</t>
        </is>
      </c>
      <c r="H11" s="23" t="inlineStr">
        <is>
          <t>Required - non-conformant (validation error) if not done</t>
        </is>
      </c>
      <c r="I11" s="23" t="inlineStr">
        <is>
          <t>Verified: cardinality and the AU Core General Requirements example for missing birthDate.</t>
        </is>
      </c>
      <c r="J11" s="23" t="inlineStr">
        <is>
          <t>https://hl7.org.au/fhir/core/StructureDefinition-au-core-patient.html</t>
        </is>
      </c>
      <c r="K11" s="23" t="inlineStr">
        <is>
          <t>Empty PID-7 -&gt; _birthDate with data-absent-reason 'unknown'. birthTime extension not added.</t>
        </is>
      </c>
      <c r="L11" s="23" t="inlineStr">
        <is>
          <t>Implemented as proposed</t>
        </is>
      </c>
    </row>
    <row r="12" ht="53.7" customHeight="1" s="13">
      <c r="A12" s="23" t="inlineStr">
        <is>
          <t>AUC-11</t>
        </is>
      </c>
      <c r="B12" s="23" t="inlineStr">
        <is>
          <t>Patient</t>
        </is>
      </c>
      <c r="C12" s="23" t="inlineStr">
        <is>
          <t>PID-11</t>
        </is>
      </c>
      <c r="D12" s="23" t="inlineStr">
        <is>
          <t>Address built from XAD.1-6; country copied as sent.</t>
        </is>
      </c>
      <c r="E12" s="23" t="inlineStr">
        <is>
          <t>address 0..* Must Support, type Address OR AustralianAddress; an Australian address SHOULD use AustralianAddress: inv-add-0 text or line required; inv-add-3 postalCode = 4 digits; state required binding Australian States and Territories; country fixed 'AU' if present.</t>
        </is>
      </c>
      <c r="F12" s="23" t="inlineStr">
        <is>
          <t>For Australian addresses (country AU/AUS/empty): normalise country to 'AU', map state to the AU states value set, check postcode is 4 digits, set text if no line. Otherwise (or if it can't be made valid) send as plain Address. XAD.7 (address type) could populate use/type.</t>
        </is>
      </c>
      <c r="G12" s="23" t="inlineStr">
        <is>
          <t>Changed mapping</t>
        </is>
      </c>
      <c r="H12" s="23" t="inlineStr">
        <is>
          <t>Recommended (SHOULD) / better conformance</t>
        </is>
      </c>
      <c r="I12" s="23" t="inlineStr">
        <is>
          <t>Verified: AustralianAddress constraints and bindings. Exact state code values not fetched (see code sets sheet).</t>
        </is>
      </c>
      <c r="J12" s="23" t="inlineStr">
        <is>
          <t>https://hl7.org.au/fhir/6.0.0/StructureDefinition-au-address.html</t>
        </is>
      </c>
      <c r="K12" s="23" t="inlineStr">
        <is>
          <t>State names -&gt; codes, AU/AUS/Australia -&gt; 'AU', text always set; bad state or postcode -&gt; plain Address with a warning. XAD.7 not mapped.</t>
        </is>
      </c>
      <c r="L12" s="23" t="inlineStr">
        <is>
          <t>Implemented as proposed</t>
        </is>
      </c>
    </row>
    <row r="13" ht="22.35" customHeight="1" s="13">
      <c r="A13" s="23" t="inlineStr">
        <is>
          <t>AUC-12</t>
        </is>
      </c>
      <c r="B13" s="23" t="inlineStr">
        <is>
          <t>Patient</t>
        </is>
      </c>
      <c r="C13" s="23" t="inlineStr">
        <is>
          <t>PID-13 / PID-14</t>
        </is>
      </c>
      <c r="D13" s="23" t="inlineStr">
        <is>
          <t>telecom system, value, use populated.</t>
        </is>
      </c>
      <c r="E13" s="23" t="inlineStr">
        <is>
          <t>telecom, telecom.system, .value, .use are Must Support (made MS in 2.0.0).</t>
        </is>
      </c>
      <c r="F13" s="23" t="inlineStr">
        <is>
          <t>No mapping change - already populated.</t>
        </is>
      </c>
      <c r="G13" s="23" t="inlineStr">
        <is>
          <t>No change</t>
        </is>
      </c>
      <c r="H13" s="23" t="inlineStr">
        <is>
          <t>Already met</t>
        </is>
      </c>
      <c r="I13" s="23" t="inlineStr">
        <is>
          <t>Verified: change log and Patient page.</t>
        </is>
      </c>
      <c r="J13" s="23" t="inlineStr">
        <is>
          <t>https://hl7.org.au/fhir/core/changes.html</t>
        </is>
      </c>
      <c r="K13" s="23" t="inlineStr">
        <is>
          <t>Unchanged.</t>
        </is>
      </c>
      <c r="L13" s="23" t="inlineStr">
        <is>
          <t>No change needed</t>
        </is>
      </c>
    </row>
    <row r="14" ht="43.25" customHeight="1" s="13">
      <c r="A14" s="23" t="inlineStr">
        <is>
          <t>AUC-13</t>
        </is>
      </c>
      <c r="B14" s="23" t="inlineStr">
        <is>
          <t>Patient</t>
        </is>
      </c>
      <c r="C14" s="23" t="inlineStr">
        <is>
          <t>PID-10 (Race)</t>
        </is>
      </c>
      <c r="D14" s="23" t="inlineStr">
        <is>
          <t>Not read.</t>
        </is>
      </c>
      <c r="E14" s="23" t="inlineStr">
        <is>
          <t>Extension indigenousStatus (0..1, Must Support), required binding Australian Indigenous Status (https://healthterminologies.gov.au/fhir/ValueSet/australian-indigenous-status-1).</t>
        </is>
      </c>
      <c r="F14" s="23" t="inlineStr">
        <is>
          <t>If the sender uses PID-10 for Indigenous status, map it to the indigenous-status extension (http://hl7.org.au/fhir/StructureDefinition/indigenous-status). Populate-if-known, so only when present.</t>
        </is>
      </c>
      <c r="G14" s="23" t="inlineStr">
        <is>
          <t>New mapping</t>
        </is>
      </c>
      <c r="H14" s="23" t="inlineStr">
        <is>
          <t>Required - Must Support 'SHALL populate-if-known'</t>
        </is>
      </c>
      <c r="I14" s="23" t="inlineStr">
        <is>
          <t>NOT verified: that Australian v2 feeds carry Indigenous status in PID-10 (believed to be the AS 4700.1 convention). Confirm with the sender.</t>
        </is>
      </c>
      <c r="J14" s="23" t="inlineStr">
        <is>
          <t>https://hl7.org.au/fhir/6.0.0/StructureDefinition-indigenous-status.html</t>
        </is>
      </c>
      <c r="K14" s="23" t="inlineStr">
        <is>
          <t>PID-10 codes 1, 2, 3, 4, 9 -&gt; indigenous-status extension; other values warned. Switch: INDIGENOUS_STATUS_FROM_PID10.</t>
        </is>
      </c>
      <c r="L14" s="23" t="inlineStr">
        <is>
          <t>Implemented as proposed</t>
        </is>
      </c>
    </row>
    <row r="15" ht="32.8" customHeight="1" s="13">
      <c r="A15" s="23" t="inlineStr">
        <is>
          <t>AUC-14</t>
        </is>
      </c>
      <c r="B15" s="23" t="inlineStr">
        <is>
          <t>Patient</t>
        </is>
      </c>
      <c r="C15" s="23" t="inlineStr">
        <is>
          <t>PID-15 (Primary Language)</t>
        </is>
      </c>
      <c r="D15" s="23" t="inlineStr">
        <is>
          <t>Not read.</t>
        </is>
      </c>
      <c r="E15" s="23" t="inlineStr">
        <is>
          <t>communication (0..*) and communication.language (1..1) Must Support; language bound (extensible) to Common Languages in Australia.</t>
        </is>
      </c>
      <c r="F15" s="23" t="inlineStr">
        <is>
          <t>Map PID-15 to communication.language (translating the sender's codes) when present.</t>
        </is>
      </c>
      <c r="G15" s="23" t="inlineStr">
        <is>
          <t>New mapping</t>
        </is>
      </c>
      <c r="H15" s="23" t="inlineStr">
        <is>
          <t>Required - Must Support 'SHALL populate-if-known'</t>
        </is>
      </c>
      <c r="I15" s="23" t="inlineStr">
        <is>
          <t>PID-15 field name/position from memory, not checked this session. Binding verified.</t>
        </is>
      </c>
      <c r="J15" s="23" t="inlineStr">
        <is>
          <t>https://hl7.org.au/fhir/core/StructureDefinition-au-core-patient.html</t>
        </is>
      </c>
      <c r="K15" s="23" t="inlineStr">
        <is>
          <t>PID-15 -&gt; communication.language: coding urn:ietf:bcp:47 when CE.3 is ISO639/BCP47, otherwise text only.</t>
        </is>
      </c>
      <c r="L15" s="23" t="inlineStr">
        <is>
          <t>Implemented as proposed</t>
        </is>
      </c>
    </row>
    <row r="16" ht="22.35" customHeight="1" s="13">
      <c r="A16" s="23" t="inlineStr">
        <is>
          <t>AUC-15</t>
        </is>
      </c>
      <c r="B16" s="23" t="inlineStr">
        <is>
          <t>Patient</t>
        </is>
      </c>
      <c r="C16" s="23" t="inlineStr">
        <is>
          <t>(no SIU v2.5 source)</t>
        </is>
      </c>
      <c r="D16" s="23" t="inlineStr">
        <is>
          <t>-</t>
        </is>
      </c>
      <c r="E16" s="23" t="inlineStr">
        <is>
          <t>Must Support extensions individualGenderIdentity and individualPronouns; also communication.preferred.</t>
        </is>
      </c>
      <c r="F16" s="23" t="inlineStr">
        <is>
          <t>Leave absent - populate-if-known only applies when the value is known, and SIU v2.5 doesn't carry these.</t>
        </is>
      </c>
      <c r="G16" s="23" t="inlineStr">
        <is>
          <t>No change</t>
        </is>
      </c>
      <c r="H16" s="23" t="inlineStr">
        <is>
          <t>Optional</t>
        </is>
      </c>
      <c r="I16" s="23" t="inlineStr">
        <is>
          <t>Verified: Must Support list and obligations.</t>
        </is>
      </c>
      <c r="J16" s="23" t="inlineStr">
        <is>
          <t>https://hl7.org.au/fhir/core/StructureDefinition-au-core-patient.html</t>
        </is>
      </c>
      <c r="K16" s="23" t="inlineStr">
        <is>
          <t>Not populated.</t>
        </is>
      </c>
      <c r="L16" s="23" t="inlineStr">
        <is>
          <t>No change needed</t>
        </is>
      </c>
    </row>
    <row r="17" ht="32.8" customHeight="1" s="13">
      <c r="A17" s="23" t="inlineStr">
        <is>
          <t>AUC-16</t>
        </is>
      </c>
      <c r="B17" s="23" t="inlineStr">
        <is>
          <t>Practitioner</t>
        </is>
      </c>
      <c r="C17" s="23" t="inlineStr">
        <is>
          <t>AIP-3.2 (family name)</t>
        </is>
      </c>
      <c r="D17" s="23" t="inlineStr">
        <is>
          <t>Practitioner created whenever AIP-3.1 is present, with or without a name.</t>
        </is>
      </c>
      <c r="E17" s="23" t="inlineStr">
        <is>
          <t>name 1..* and name.family 1..1 (Must Support). A mandated sub-element must be present or the resource is not conformant.</t>
        </is>
      </c>
      <c r="F17" s="23" t="inlineStr">
        <is>
          <t>Create an AU Core Practitioner only when AIP-3.2 is present; otherwise fall back to a display-only participant (as already done when AIP-3.1 is empty).</t>
        </is>
      </c>
      <c r="G17" s="23" t="inlineStr">
        <is>
          <t>Behaviour change</t>
        </is>
      </c>
      <c r="H17" s="23" t="inlineStr">
        <is>
          <t>Required - non-conformant (validation error) if not done</t>
        </is>
      </c>
      <c r="I17" s="23" t="inlineStr">
        <is>
          <t>Verified: cardinalities. Whether data-absent-reason on name.family is acceptable wasn't confirmed, so the safer fallback is proposed.</t>
        </is>
      </c>
      <c r="J17" s="23" t="inlineStr">
        <is>
          <t>https://hl7.org.au/fhir/core/StructureDefinition-au-core-practitioner.html</t>
        </is>
      </c>
      <c r="K17" s="23" t="inlineStr">
        <is>
          <t>No AIP-3.2 -&gt; no Practitioner; display-only participant with a warning.</t>
        </is>
      </c>
      <c r="L17" s="23" t="inlineStr">
        <is>
          <t>Implemented as proposed</t>
        </is>
      </c>
    </row>
    <row r="18" ht="43.25" customHeight="1" s="13">
      <c r="A18" s="23" t="inlineStr">
        <is>
          <t>AUC-17</t>
        </is>
      </c>
      <c r="B18" s="23" t="inlineStr">
        <is>
          <t>Practitioner</t>
        </is>
      </c>
      <c r="C18" s="23" t="inlineStr">
        <is>
          <t>AIP-3.1 + AIP-3.9 / AIP-3.13 (HPI-I)</t>
        </is>
      </c>
      <c r="D18" s="23" t="inlineStr">
        <is>
          <t>identifier.system = {base}/practitioner/{XCN.9}; XCN.13 not read.</t>
        </is>
      </c>
      <c r="E18" s="23" t="inlineStr">
        <is>
          <t>Slice identifier:hpii (0..1, Must Support) = AU HPI-I: type v2-0203#NPI, system fixed http://ns.electronichealth.net.au/id/hi/hpii/1.0, 16 digits, prefix 800361, Luhn.</t>
        </is>
      </c>
      <c r="F18" s="23" t="inlineStr">
        <is>
          <t>Read XCN.13 (identifier type code); when NPI (assigning authority AUSHIC), set the HPI-I system and validate format; invalid HPI-I dropped with a warning.</t>
        </is>
      </c>
      <c r="G18" s="23" t="inlineStr">
        <is>
          <t>Changed mapping</t>
        </is>
      </c>
      <c r="H18" s="23" t="inlineStr">
        <is>
          <t>Required - non-conformant (validation error) if not done</t>
        </is>
      </c>
      <c r="I18" s="23" t="inlineStr">
        <is>
          <t>Verified: AU HPI-I profile. Convention ^AUSHIC^...^NPI from the blog source (not the standard). XCN.13 position from memory.</t>
        </is>
      </c>
      <c r="J18" s="23" t="inlineStr">
        <is>
          <t>https://hl7.org.au/fhir/6.0.0/StructureDefinition-au-hpii.html</t>
        </is>
      </c>
      <c r="K18" s="23" t="inlineStr">
        <is>
          <t>XCN.13 NPI (or AUSHIC + 800361) -&gt; HPI-I system/type; invalid HPI-I kept as a local identifier with a warning.</t>
        </is>
      </c>
      <c r="L18" s="23" t="inlineStr">
        <is>
          <t>Implemented as proposed</t>
        </is>
      </c>
    </row>
    <row r="19" ht="53.7" customHeight="1" s="13">
      <c r="A19" s="23" t="inlineStr">
        <is>
          <t>AUC-18</t>
        </is>
      </c>
      <c r="B19" s="23" t="inlineStr">
        <is>
          <t>Practitioner</t>
        </is>
      </c>
      <c r="C19" s="23" t="inlineStr">
        <is>
          <t>AIP-3.1 + AIP-3.9 (Medicare provider number)</t>
        </is>
      </c>
      <c r="D19" s="23" t="inlineStr">
        <is>
          <t>identifier.system = {base}/practitioner/AUSHICPR.</t>
        </is>
      </c>
      <c r="E19" s="23" t="inlineStr">
        <is>
          <t>Allowed as an additional identifier (slicing is open). AU Medicare Provider Number: type http://terminology.hl7.org.au/CodeSystem/v2-0203#UPIN, system fixed http://ns.electronichealth.net.au/id/medicare-provider-number.</t>
        </is>
      </c>
      <c r="F19" s="23" t="inlineStr">
        <is>
          <t>When XCN.9 = AUSHICPR, use the Medicare provider number system and AU type code UPIN. Note the provider number is location-specific, so it sits better on PractitionerRole.</t>
        </is>
      </c>
      <c r="G19" s="23" t="inlineStr">
        <is>
          <t>Changed mapping</t>
        </is>
      </c>
      <c r="H19" s="23" t="inlineStr">
        <is>
          <t>Recommended (SHOULD) / better conformance</t>
        </is>
      </c>
      <c r="I19" s="23" t="inlineStr">
        <is>
          <t>Verified: AU Medicare Provider Number profile. AUSHICPR convention from the blog source; not in v2.4 table 0363.</t>
        </is>
      </c>
      <c r="J19" s="23" t="inlineStr">
        <is>
          <t>https://hl7.org.au/fhir/6.0.0/StructureDefinition-au-medicareprovidernumber.html</t>
        </is>
      </c>
      <c r="K19" s="23" t="inlineStr">
        <is>
          <t>XCN.9 AUSHICPR -&gt; Medicare provider number system and AU v2-0203#UPIN. Kept on Practitioner (no PractitionerRole).</t>
        </is>
      </c>
      <c r="L19" s="23" t="inlineStr">
        <is>
          <t>Implemented as proposed</t>
        </is>
      </c>
    </row>
    <row r="20" ht="32.8" customHeight="1" s="13">
      <c r="A20" s="23" t="inlineStr">
        <is>
          <t>AUC-19</t>
        </is>
      </c>
      <c r="B20" s="23" t="inlineStr">
        <is>
          <t>Location</t>
        </is>
      </c>
      <c r="C20" s="23" t="inlineStr">
        <is>
          <t>AIL-3</t>
        </is>
      </c>
      <c r="D20" s="23" t="inlineStr">
        <is>
          <t>identifier (local system + value), name, status 'active'.</t>
        </is>
      </c>
      <c r="E20" s="23" t="inlineStr">
        <is>
          <t>au-core-loc-01 (error): at least an identifier with system and value, or an address, or a type. Must Support: name, type, address, physicalType, managingOrganization.</t>
        </is>
      </c>
      <c r="F20" s="23" t="inlineStr">
        <is>
          <t>No change needed for the invariant (the PoC always sends system + value).</t>
        </is>
      </c>
      <c r="G20" s="23" t="inlineStr">
        <is>
          <t>No change</t>
        </is>
      </c>
      <c r="H20" s="23" t="inlineStr">
        <is>
          <t>Already met</t>
        </is>
      </c>
      <c r="I20" s="23" t="inlineStr">
        <is>
          <t>Verified: invariant expression.</t>
        </is>
      </c>
      <c r="J20" s="23" t="inlineStr">
        <is>
          <t>https://hl7.org.au/fhir/core/StructureDefinition-au-core-location.html</t>
        </is>
      </c>
      <c r="K20" s="23" t="inlineStr">
        <is>
          <t>Identifier always has system + value.</t>
        </is>
      </c>
      <c r="L20" s="23" t="inlineStr">
        <is>
          <t>No change needed</t>
        </is>
      </c>
    </row>
    <row r="21" ht="43.25" customHeight="1" s="13">
      <c r="A21" s="23" t="inlineStr">
        <is>
          <t>AUC-20</t>
        </is>
      </c>
      <c r="B21" s="23" t="inlineStr">
        <is>
          <t>Location</t>
        </is>
      </c>
      <c r="C21" s="23" t="inlineStr">
        <is>
          <t>AIL-4</t>
        </is>
      </c>
      <c r="D21" s="23" t="inlineStr">
        <is>
          <t>Location.type from AIL-4 with a placeholder local code system.</t>
        </is>
      </c>
      <c r="E21" s="23" t="inlineStr">
        <is>
          <t>type Must Support; extensible binding ServiceDeliveryLocationRoleType - AU Extended (http://terminology.hl7.org.au/ValueSet/v3-ServiceDeliveryLocationRoleType-extended).</t>
        </is>
      </c>
      <c r="F21" s="23" t="inlineStr">
        <is>
          <t>Translate AIL-4 local codes to that value set (see code sets sheet); keep a local code only where nothing suitable exists.</t>
        </is>
      </c>
      <c r="G21" s="23" t="inlineStr">
        <is>
          <t>Changed code mapping</t>
        </is>
      </c>
      <c r="H21" s="23" t="inlineStr">
        <is>
          <t>Required - Must Support 'SHALL populate-if-known'</t>
        </is>
      </c>
      <c r="I21" s="23" t="inlineStr">
        <is>
          <t>Verified: binding and strength from AU Base Location.</t>
        </is>
      </c>
      <c r="J21" s="23" t="inlineStr">
        <is>
          <t>https://hl7.org.au/fhir/6.0.0/StructureDefinition-au-location.html</t>
        </is>
      </c>
      <c r="K21" s="23" t="inlineStr">
        <is>
          <t>AIL-4.1 translated via config/au-registry.json locationTypes; untranslated codes sent as local codes with a warning. Sample registry has no active translations (codes unverified).</t>
        </is>
      </c>
      <c r="L21" s="23" t="inlineStr">
        <is>
          <t>Implemented as proposed</t>
        </is>
      </c>
    </row>
    <row r="22" ht="32.8" customHeight="1" s="13">
      <c r="A22" s="23" t="inlineStr">
        <is>
          <t>AUC-21</t>
        </is>
      </c>
      <c r="B22" s="23" t="inlineStr">
        <is>
          <t>Location</t>
        </is>
      </c>
      <c r="C22" s="23" t="inlineStr">
        <is>
          <t>AIL-3.1 / .2 / .3 (point of care, room, bed)</t>
        </is>
      </c>
      <c r="D22" s="23" t="inlineStr">
        <is>
          <t>Joined into identifier.value only.</t>
        </is>
      </c>
      <c r="E22" s="23" t="inlineStr">
        <is>
          <t>physicalType Must Support; preferred binding Location Type (Physical) - AU Extended.</t>
        </is>
      </c>
      <c r="F22" s="23" t="inlineStr">
        <is>
          <t>Derive physicalType from the most specific PL component present: bed -&gt; bd, room -&gt; ro, point of care -&gt; wa (ward). Only if the sender's PL usage matches.</t>
        </is>
      </c>
      <c r="G22" s="23" t="inlineStr">
        <is>
          <t>New mapping (derived)</t>
        </is>
      </c>
      <c r="H22" s="23" t="inlineStr">
        <is>
          <t>Required - Must Support 'SHALL populate-if-known'</t>
        </is>
      </c>
      <c r="I22" s="23" t="inlineStr">
        <is>
          <t>Proposal. Physical type codes (bd, ro, wa) are from memory, not checked this session; point of care -&gt; ward is an assumption.</t>
        </is>
      </c>
      <c r="J22" s="23" t="inlineStr">
        <is>
          <t>https://hl7.org.au/fhir/6.0.0/StructureDefinition-au-location.html</t>
        </is>
      </c>
      <c r="K22" s="23" t="inlineStr">
        <is>
          <t>bed -&gt; bd, room -&gt; ro, point of care -&gt; wa (location-physical-type).</t>
        </is>
      </c>
      <c r="L22" s="23" t="inlineStr">
        <is>
          <t>Implemented as proposed</t>
        </is>
      </c>
    </row>
    <row r="23" ht="53.7" customHeight="1" s="13">
      <c r="A23" s="23" t="inlineStr">
        <is>
          <t>AUC-22</t>
        </is>
      </c>
      <c r="B23" s="23" t="inlineStr">
        <is>
          <t>Location / Organization</t>
        </is>
      </c>
      <c r="C23" s="23" t="inlineStr">
        <is>
          <t>AIL-3.4 (facility)</t>
        </is>
      </c>
      <c r="D23" s="23" t="inlineStr">
        <is>
          <t>Used only inside the Location identifier.</t>
        </is>
      </c>
      <c r="E23" s="23" t="inlineStr">
        <is>
          <t>Location.managingOrganization Must Support, Reference(AU Core Organization). AU Core Organization: name 1..1 Must Support; identifier hpio/abn Must Support; org-1 name or identifier.</t>
        </is>
      </c>
      <c r="F23" s="23" t="inlineStr">
        <is>
          <t>Create/update an AU Core Organization per facility (match on facility code), name and optional HPI-O from configuration; reference it from Location.managingOrganization. The same lookup provides MRN assigner.display (AUC-07).</t>
        </is>
      </c>
      <c r="G23" s="23" t="inlineStr">
        <is>
          <t>New resource + config</t>
        </is>
      </c>
      <c r="H23" s="23" t="inlineStr">
        <is>
          <t>Required - Must Support 'SHALL populate-if-known'</t>
        </is>
      </c>
      <c r="I23" s="23" t="inlineStr">
        <is>
          <t>Verified: AU Core Organization constraints. Facility names / HPI-Os have no SIU source - configuration needed.</t>
        </is>
      </c>
      <c r="J23" s="23" t="inlineStr">
        <is>
          <t>https://hl7.org.au/fhir/core/StructureDefinition-au-core-organization.html</t>
        </is>
      </c>
      <c r="K23" s="23" t="inlineStr">
        <is>
          <t>Organization looked up ON THE FHIR SERVER by http://example.org/fhir/sid/organization|&lt;AIL-3.4&gt; and never modified; if missing, a placeholder (name = facility code, meta.tag placeholder) is created with a conditional create. Facilities are loaded with tools/seed_fhir.py (seed/organizations.json). No registry.</t>
        </is>
      </c>
      <c r="L23" s="23" t="inlineStr">
        <is>
          <t>Implemented differently</t>
        </is>
      </c>
    </row>
    <row r="24" ht="22.35" customHeight="1" s="13">
      <c r="A24" s="23" t="inlineStr">
        <is>
          <t>AUC-23</t>
        </is>
      </c>
      <c r="B24" s="23" t="inlineStr">
        <is>
          <t>Location</t>
        </is>
      </c>
      <c r="C24" s="23" t="inlineStr">
        <is>
          <t>(no SIU source)</t>
        </is>
      </c>
      <c r="D24" s="23" t="inlineStr">
        <is>
          <t>-</t>
        </is>
      </c>
      <c r="E24" s="23" t="inlineStr">
        <is>
          <t>Location.address Must Support.</t>
        </is>
      </c>
      <c r="F24" s="23" t="inlineStr">
        <is>
          <t>Populate from the facility configuration (AUC-22) if wanted; otherwise leave absent.</t>
        </is>
      </c>
      <c r="G24" s="23" t="inlineStr">
        <is>
          <t>Config (optional)</t>
        </is>
      </c>
      <c r="H24" s="23" t="inlineStr">
        <is>
          <t>Optional</t>
        </is>
      </c>
      <c r="I24" s="23" t="inlineStr">
        <is>
          <t>Populate-if-known only.</t>
        </is>
      </c>
      <c r="J24" s="23" t="inlineStr">
        <is>
          <t>https://hl7.org.au/fhir/core/StructureDefinition-au-core-location.html</t>
        </is>
      </c>
      <c r="K24" s="23" t="inlineStr">
        <is>
          <t>Location.address copied from the managing Organization's first address (when it has one).</t>
        </is>
      </c>
      <c r="L24" s="23" t="inlineStr">
        <is>
          <t>Implemented differently</t>
        </is>
      </c>
    </row>
    <row r="25" ht="53.7" customHeight="1" s="13">
      <c r="A25" s="23" t="inlineStr">
        <is>
          <t>AUC-24</t>
        </is>
      </c>
      <c r="B25" s="23" t="inlineStr">
        <is>
          <t>Appointment</t>
        </is>
      </c>
      <c r="C25" s="23" t="inlineStr">
        <is>
          <t>(all SCH/AI* mappings)</t>
        </is>
      </c>
      <c r="D25" s="23" t="inlineStr">
        <is>
          <t>SIUAppointment profile on base R4.</t>
        </is>
      </c>
      <c r="E25" s="23" t="inlineStr">
        <is>
          <t>No AU Core or AU Base Appointment profile.</t>
        </is>
      </c>
      <c r="F25" s="23" t="inlineStr">
        <is>
          <t>No change to Appointment mappings. Update SIUAppointment participant.actor targets to AU Core Patient / Practitioner / Location; consider PractitionerRole (AU Core PractitionerRole) for AIP if a role or location-specific provider number is needed.</t>
        </is>
      </c>
      <c r="G25" s="23" t="inlineStr">
        <is>
          <t>Profile change only</t>
        </is>
      </c>
      <c r="H25" s="23" t="inlineStr">
        <is>
          <t>Optional</t>
        </is>
      </c>
      <c r="I25" s="23" t="inlineStr">
        <is>
          <t>Verified: AU Core and AU Base profile lists.</t>
        </is>
      </c>
      <c r="J25" s="23" t="inlineStr">
        <is>
          <t>https://hl7.org.au/fhir/core/profiles-and-extensions.html</t>
        </is>
      </c>
      <c r="K25" s="23" t="inlineStr">
        <is>
          <t>Appointment mappings unchanged; participant.actor targets AU Core profiles; known role codes (e.g. ATND) sent with v3-ParticipationType.</t>
        </is>
      </c>
      <c r="L25" s="23" t="inlineStr">
        <is>
          <t>Implemented as proposed</t>
        </is>
      </c>
    </row>
    <row r="26" ht="53.7" customHeight="1" s="13">
      <c r="A26" s="23" t="inlineStr">
        <is>
          <t>AUC-25</t>
        </is>
      </c>
      <c r="B26" s="23" t="inlineStr">
        <is>
          <t>Build</t>
        </is>
      </c>
      <c r="C26" s="23" t="inlineStr">
        <is>
          <t>(future)</t>
        </is>
      </c>
      <c r="D26" s="23" t="inlineStr">
        <is>
          <t>-</t>
        </is>
      </c>
      <c r="E26" s="23" t="inlineStr">
        <is>
          <t>AU Core 3.0.0-ballot1 (ballot, published 29 Jul 2026). Its change log lists no Patient, Practitioner, PractitionerRole or Location changes; Organization gains AU HAE and AU HSP-O identifier types, drops the HPI-O/PAI-O-only invariant, and changes the ABN type code.</t>
        </is>
      </c>
      <c r="F26" s="23" t="inlineStr">
        <is>
          <t>Target 2.0.0 (current official). Re-check Organization identifier handling if moving to 3.0.0.</t>
        </is>
      </c>
      <c r="G26" s="23" t="inlineStr">
        <is>
          <t>Watch item</t>
        </is>
      </c>
      <c r="H26" s="23" t="inlineStr">
        <is>
          <t>Optional</t>
        </is>
      </c>
      <c r="I26" s="23" t="inlineStr">
        <is>
          <t>Verified: 3.0.0-ballot1 change log.</t>
        </is>
      </c>
      <c r="J26" s="23" t="inlineStr">
        <is>
          <t>https://hl7.org.au/fhir/core/3.0.0-ballot1/changes.html</t>
        </is>
      </c>
      <c r="K26" s="23" t="inlineStr">
        <is>
          <t>Targets 2.0.0.</t>
        </is>
      </c>
      <c r="L26" s="23" t="inlineStr">
        <is>
          <t>No change needed</t>
        </is>
      </c>
    </row>
    <row r="27" ht="22.35" customHeight="1" s="13">
      <c r="A27" s="23" t="inlineStr">
        <is>
          <t>AUC-26</t>
        </is>
      </c>
      <c r="B27" s="23" t="inlineStr">
        <is>
          <t>Organization</t>
        </is>
      </c>
      <c r="C27" s="23" t="inlineStr">
        <is>
          <t>(no SIU source)</t>
        </is>
      </c>
      <c r="D27" s="23" t="inlineStr">
        <is>
          <t>-</t>
        </is>
      </c>
      <c r="E27" s="23" t="inlineStr">
        <is>
          <t>AU Core Organization identifier:hpio Must Support (populate-if-known).</t>
        </is>
      </c>
      <c r="F27" s="23" t="inlineStr">
        <is>
          <t>HPI-O, telecom and address are curated on the FHIR server (seed data); the service never writes them.</t>
        </is>
      </c>
      <c r="G27" s="23" t="inlineStr">
        <is>
          <t>Data management</t>
        </is>
      </c>
      <c r="H27" s="23" t="inlineStr">
        <is>
          <t>Optional</t>
        </is>
      </c>
      <c r="I27" s="23" t="inlineStr">
        <is>
          <t>HPI-O system/type coding not verified, so the seed Organization has no HPI-O.</t>
        </is>
      </c>
      <c r="J27" s="23" t="inlineStr">
        <is>
          <t>https://hl7.org.au/fhir/core/StructureDefinition-au-core-organization.html</t>
        </is>
      </c>
      <c r="K27" s="23" t="inlineStr">
        <is>
          <t>As described.</t>
        </is>
      </c>
      <c r="L27" s="23" t="inlineStr">
        <is>
          <t>Implemented as proposed</t>
        </is>
      </c>
    </row>
    <row r="28" ht="32.8" customHeight="1" s="13">
      <c r="A28" s="23" t="inlineStr">
        <is>
          <t>AUC-27</t>
        </is>
      </c>
      <c r="B28" s="23" t="inlineStr">
        <is>
          <t>Appointment</t>
        </is>
      </c>
      <c r="C28" s="23" t="inlineStr">
        <is>
          <t>AIP-4, AIG-4</t>
        </is>
      </c>
      <c r="D28" s="23" t="inlineStr">
        <is>
          <t>Local code system for all role codes (base ISSUE-08).</t>
        </is>
      </c>
      <c r="E28" s="23" t="inlineStr">
        <is>
          <t>participant.type extensible binding (encounter-participant-type).</t>
        </is>
      </c>
      <c r="F28" s="23" t="inlineStr">
        <is>
          <t>Codes in the value set (ADM, ATND, CALLBCK, CON, DIS, ESC, REF, SPRF, PPRF, PART; translator, emergency) sent with their HL7 code systems; others local.</t>
        </is>
      </c>
      <c r="G28" s="23" t="inlineStr">
        <is>
          <t>Changed code mapping</t>
        </is>
      </c>
      <c r="H28" s="23" t="inlineStr">
        <is>
          <t>Recommended (SHOULD) / better conformance</t>
        </is>
      </c>
      <c r="I28" s="23" t="inlineStr">
        <is>
          <t>Verified: R4 encounter-participant-type expansion.</t>
        </is>
      </c>
      <c r="J28" s="23" t="inlineStr">
        <is>
          <t>https://hl7.org/fhir/R4/valueset-encounter-participant-type.html</t>
        </is>
      </c>
      <c r="K28" s="23" t="inlineStr">
        <is>
          <t>As described.</t>
        </is>
      </c>
      <c r="L28" s="23" t="inlineStr">
        <is>
          <t>Implemented as proposed</t>
        </is>
      </c>
    </row>
  </sheetData>
  <conditionalFormatting sqref="L2:L28">
    <cfRule type="expression" rank="0" priority="2" equalAverage="0" aboveAverage="0" dxfId="8" text="" percent="0" bottom="0">
      <formula>$L2="Implemented as proposed"</formula>
    </cfRule>
    <cfRule type="expression" rank="0" priority="3" equalAverage="0" aboveAverage="0" dxfId="10" text="" percent="0" bottom="0">
      <formula>$L2="Implemented differently"</formula>
    </cfRule>
    <cfRule type="expression" rank="0" priority="4" equalAverage="0" aboveAverage="0" dxfId="14" text="" percent="0" bottom="0">
      <formula>$L2="Not implemented"</formula>
    </cfRule>
    <cfRule type="expression" rank="0" priority="5" equalAverage="0" aboveAverage="0" dxfId="11" text="" percent="0" bottom="0">
      <formula>$L2="No change needed"</formula>
    </cfRule>
  </conditionalFormatting>
  <conditionalFormatting sqref="H2:H28">
    <cfRule type="expression" rank="0" priority="6" equalAverage="0" aboveAverage="0" dxfId="13" text="" percent="0" bottom="0">
      <formula>LEFT($H2,30)="Required - non-conformant (vali"</formula>
    </cfRule>
  </conditionalFormatting>
  <conditionalFormatting sqref="I2:I28">
    <cfRule type="expression" rank="0" priority="7" equalAverage="0" aboveAverage="0" dxfId="12" text="" percent="0" bottom="0">
      <formula>ISNUMBER(SEARCH("NOT verified",$I2))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I1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2" min="1" max="1"/>
    <col width="24" customWidth="1" style="12" min="2" max="2"/>
    <col width="20" customWidth="1" style="12" min="3" max="3"/>
    <col width="30" customWidth="1" style="12" min="4" max="4"/>
    <col width="50" customWidth="1" style="12" min="5" max="5"/>
    <col width="32" customWidth="1" style="12" min="6" max="6"/>
    <col width="42" customWidth="1" style="12" min="7" max="7"/>
    <col width="50" customWidth="1" style="12" min="8" max="8"/>
    <col width="18" customWidth="1" style="12" min="9" max="9"/>
  </cols>
  <sheetData>
    <row r="1" ht="31.5" customHeight="1" s="13">
      <c r="A1" s="22" t="inlineStr">
        <is>
          <t>ID</t>
        </is>
      </c>
      <c r="B1" s="22" t="inlineStr">
        <is>
          <t>SIU Element / Code Set</t>
        </is>
      </c>
      <c r="C1" s="22" t="inlineStr">
        <is>
          <t>SIU Code(s)</t>
        </is>
      </c>
      <c r="D1" s="22" t="inlineStr">
        <is>
          <t>Base PoC FHIR Mapping</t>
        </is>
      </c>
      <c r="E1" s="22" t="inlineStr">
        <is>
          <t>AU Core v2 Code System / Value Set (strength)</t>
        </is>
      </c>
      <c r="F1" s="22" t="inlineStr">
        <is>
          <t>Proposed AU Core Mapping (9 Oct)</t>
        </is>
      </c>
      <c r="G1" s="22" t="inlineStr">
        <is>
          <t>Notes / Verification</t>
        </is>
      </c>
      <c r="H1" s="22" t="inlineStr">
        <is>
          <t>AU Core Build - As Implemented (26 Oct)</t>
        </is>
      </c>
      <c r="I1" s="22" t="inlineStr">
        <is>
          <t>Build Status</t>
        </is>
      </c>
    </row>
    <row r="2" ht="22.35" customHeight="1" s="13">
      <c r="A2" s="23" t="inlineStr">
        <is>
          <t>AUC-C01</t>
        </is>
      </c>
      <c r="B2" s="23" t="inlineStr">
        <is>
          <t>PID-3.5 (table 0203) + CX.4</t>
        </is>
      </c>
      <c r="C2" s="23" t="inlineStr">
        <is>
          <t>NI (AUSHIC)</t>
        </is>
      </c>
      <c r="D2" s="23" t="inlineStr">
        <is>
          <t>type v2-0203#NI; system {base}/patient/AUSHIC/NI</t>
        </is>
      </c>
      <c r="E2" s="23" t="inlineStr">
        <is>
          <t>AU IHI: type pattern v2-0203#NI; system http://ns.electronichealth.net.au/id/hi/ihi/1.0 (fixed)</t>
        </is>
      </c>
      <c r="F2" s="23" t="inlineStr">
        <is>
          <t>type unchanged; system replaced</t>
        </is>
      </c>
      <c r="G2" s="23" t="inlineStr">
        <is>
          <t>Value must pass 16-digit / 800360 / Luhn checks.</t>
        </is>
      </c>
      <c r="H2" s="23" t="inlineStr">
        <is>
          <t>As proposed; invalid values dropped.</t>
        </is>
      </c>
      <c r="I2" s="23" t="inlineStr">
        <is>
          <t>Implemented as proposed</t>
        </is>
      </c>
    </row>
    <row r="3" ht="22.35" customHeight="1" s="13">
      <c r="A3" s="23" t="inlineStr">
        <is>
          <t>AUC-C02</t>
        </is>
      </c>
      <c r="B3" s="23" t="inlineStr">
        <is>
          <t>PID-3.5 (table 0203) + CX.4</t>
        </is>
      </c>
      <c r="C3" s="23" t="inlineStr">
        <is>
          <t>MC (AUSHIC)</t>
        </is>
      </c>
      <c r="D3" s="23" t="inlineStr">
        <is>
          <t>type v2-0203#MC; system {base}/patient/AUSHIC/MC</t>
        </is>
      </c>
      <c r="E3" s="23" t="inlineStr">
        <is>
          <t>AU Medicare Card Number: type pattern v2-0203#MC; system http://ns.electronichealth.net.au/id/medicare-number (fixed)</t>
        </is>
      </c>
      <c r="F3" s="23" t="inlineStr">
        <is>
          <t>type unchanged; system replaced</t>
        </is>
      </c>
      <c r="G3" s="23" t="inlineStr">
        <is>
          <t>10 or 11 characters.</t>
        </is>
      </c>
      <c r="H3" s="23" t="inlineStr">
        <is>
          <t>As proposed; invalid values dropped.</t>
        </is>
      </c>
      <c r="I3" s="23" t="inlineStr">
        <is>
          <t>Implemented as proposed</t>
        </is>
      </c>
    </row>
    <row r="4" ht="22.35" customHeight="1" s="13">
      <c r="A4" s="23" t="inlineStr">
        <is>
          <t>AUC-C03</t>
        </is>
      </c>
      <c r="B4" s="23" t="inlineStr">
        <is>
          <t>PID-3.4 (table 0363)</t>
        </is>
      </c>
      <c r="C4" s="23" t="inlineStr">
        <is>
          <t>AUSDVA</t>
        </is>
      </c>
      <c r="D4" s="23" t="inlineStr">
        <is>
          <t>type v2-0203#{CX.5}; system {base}/patient/AUSDVA/{CX.5}</t>
        </is>
      </c>
      <c r="E4" s="23" t="inlineStr">
        <is>
          <t>AU DVA Number: system http://ns.electronichealth.net.au/id/dva (fixed); type from DVA Entitlement value set (required)</t>
        </is>
      </c>
      <c r="F4" s="23" t="inlineStr">
        <is>
          <t>system replaced; type needs a sender-agreed translation</t>
        </is>
      </c>
      <c r="G4" s="23" t="inlineStr">
        <is>
          <t>No SIU source identified for the entitlement type - open question.</t>
        </is>
      </c>
      <c r="H4" s="23" t="inlineStr">
        <is>
          <t>Generic identifier {base}/patient/AUSDVA/&lt;CX.5&gt;; DVA system not used.</t>
        </is>
      </c>
      <c r="I4" s="23" t="inlineStr">
        <is>
          <t>Implemented differently</t>
        </is>
      </c>
    </row>
    <row r="5" ht="22.35" customHeight="1" s="13">
      <c r="A5" s="23" t="inlineStr">
        <is>
          <t>AUC-C04</t>
        </is>
      </c>
      <c r="B5" s="23" t="inlineStr">
        <is>
          <t>PID-3.5 (table 0203)</t>
        </is>
      </c>
      <c r="C5" s="23" t="inlineStr">
        <is>
          <t>MR</t>
        </is>
      </c>
      <c r="D5" s="23" t="inlineStr">
        <is>
          <t>type v2-0203#MR; system {base}/patient/{CX.4}/MR</t>
        </is>
      </c>
      <c r="E5" s="23" t="inlineStr">
        <is>
          <t>AU Medical Record Number: type pattern v2-0203#MR; system = organisation namespace; assigner.display 1..1</t>
        </is>
      </c>
      <c r="F5" s="23" t="inlineStr">
        <is>
          <t>type unchanged; system and assigner from config per CX.4</t>
        </is>
      </c>
      <c r="G5" s="23" t="n"/>
      <c r="H5" s="23" t="inlineStr">
        <is>
          <t>type v2-0203#MR; system http://example.org/fhir/sid/mrn/&lt;PID-3.4&gt;; no assigner.</t>
        </is>
      </c>
      <c r="I5" s="23" t="inlineStr">
        <is>
          <t>Implemented differently</t>
        </is>
      </c>
    </row>
    <row r="6" ht="22.35" customHeight="1" s="13">
      <c r="A6" s="23" t="inlineStr">
        <is>
          <t>AUC-C05</t>
        </is>
      </c>
      <c r="B6" s="23" t="inlineStr">
        <is>
          <t>PID-3.5 (table 0203)</t>
        </is>
      </c>
      <c r="C6" s="23" t="inlineStr">
        <is>
          <t>PI</t>
        </is>
      </c>
      <c r="D6" s="23" t="inlineStr">
        <is>
          <t>type v2-0203#PI; system {base}/patient/{CX.4}/PI</t>
        </is>
      </c>
      <c r="E6" s="23" t="inlineStr">
        <is>
          <t>AU Patient Internal Identifier: type pattern v2-0203#PI; system = application namespace; assigner.display 1..1</t>
        </is>
      </c>
      <c r="F6" s="23" t="inlineStr">
        <is>
          <t>type unchanged; system and assigner from config</t>
        </is>
      </c>
      <c r="G6" s="23" t="inlineStr">
        <is>
          <t>Added as an allowed type in AU Core 2.0.0.</t>
        </is>
      </c>
      <c r="H6" s="23" t="inlineStr">
        <is>
          <t>type v2-0203#PI; system {base}/patient/&lt;PID-3.4&gt;/PI; no assigner.</t>
        </is>
      </c>
      <c r="I6" s="23" t="inlineStr">
        <is>
          <t>Implemented differently</t>
        </is>
      </c>
    </row>
    <row r="7" ht="22.35" customHeight="1" s="13">
      <c r="A7" s="23" t="inlineStr">
        <is>
          <t>AUC-C06</t>
        </is>
      </c>
      <c r="B7" s="23" t="inlineStr">
        <is>
          <t>AIP-3.13 (table 0203) + XCN.9</t>
        </is>
      </c>
      <c r="C7" s="23" t="inlineStr">
        <is>
          <t>NPI (AUSHIC)</t>
        </is>
      </c>
      <c r="D7" s="23" t="inlineStr">
        <is>
          <t>XCN.13 not read; system {base}/practitioner/AUSHIC</t>
        </is>
      </c>
      <c r="E7" s="23" t="inlineStr">
        <is>
          <t>AU HPI-I: type pattern v2-0203#NPI; system http://ns.electronichealth.net.au/id/hi/hpii/1.0 (fixed)</t>
        </is>
      </c>
      <c r="F7" s="23" t="inlineStr">
        <is>
          <t>new: type v2-0203#NPI; system replaced</t>
        </is>
      </c>
      <c r="G7" s="23" t="inlineStr">
        <is>
          <t>Value must pass 16-digit / 800361 / Luhn checks.</t>
        </is>
      </c>
      <c r="H7" s="23" t="inlineStr">
        <is>
          <t>As proposed.</t>
        </is>
      </c>
      <c r="I7" s="23" t="inlineStr">
        <is>
          <t>Implemented as proposed</t>
        </is>
      </c>
    </row>
    <row r="8" ht="43.25" customHeight="1" s="13">
      <c r="A8" s="23" t="inlineStr">
        <is>
          <t>AUC-C07</t>
        </is>
      </c>
      <c r="B8" s="23" t="inlineStr">
        <is>
          <t>AIP-3.9</t>
        </is>
      </c>
      <c r="C8" s="23" t="inlineStr">
        <is>
          <t>AUSHICPR</t>
        </is>
      </c>
      <c r="D8" s="23" t="inlineStr">
        <is>
          <t>system {base}/practitioner/AUSHICPR; no type</t>
        </is>
      </c>
      <c r="E8" s="23" t="inlineStr">
        <is>
          <t>AU Medicare Provider Number: type http://terminology.hl7.org.au/CodeSystem/v2-0203#UPIN; system http://ns.electronichealth.net.au/id/medicare-provider-number (fixed)</t>
        </is>
      </c>
      <c r="F8" s="23" t="inlineStr">
        <is>
          <t>new: AU-specific type code UPIN (note: AU code system, not the HL7 one)</t>
        </is>
      </c>
      <c r="G8" s="23" t="n"/>
      <c r="H8" s="23" t="inlineStr">
        <is>
          <t>As proposed.</t>
        </is>
      </c>
      <c r="I8" s="23" t="inlineStr">
        <is>
          <t>Implemented as proposed</t>
        </is>
      </c>
    </row>
    <row r="9" ht="32.8" customHeight="1" s="13">
      <c r="A9" s="23" t="inlineStr">
        <is>
          <t>AUC-C08</t>
        </is>
      </c>
      <c r="B9" s="23" t="inlineStr">
        <is>
          <t>PID-8 (table 0001)</t>
        </is>
      </c>
      <c r="C9" s="23" t="inlineStr">
        <is>
          <t>(empty)</t>
        </is>
      </c>
      <c r="D9" s="23" t="inlineStr">
        <is>
          <t>gender omitted</t>
        </is>
      </c>
      <c r="E9" s="23" t="inlineStr">
        <is>
          <t>AdministrativeGender (required) - unchanged binding</t>
        </is>
      </c>
      <c r="F9" s="23" t="inlineStr">
        <is>
          <t>unknown</t>
        </is>
      </c>
      <c r="G9" s="23" t="inlineStr">
        <is>
          <t>New because gender is 1..1 in AU Core. Other codes: no change (M, F, O, U, A, N as on the Code Mappings sheet).</t>
        </is>
      </c>
      <c r="H9" s="23" t="inlineStr">
        <is>
          <t>As proposed.</t>
        </is>
      </c>
      <c r="I9" s="23" t="inlineStr">
        <is>
          <t>Implemented as proposed</t>
        </is>
      </c>
    </row>
    <row r="10" ht="32.8" customHeight="1" s="13">
      <c r="A10" s="23" t="inlineStr">
        <is>
          <t>AUC-C09</t>
        </is>
      </c>
      <c r="B10" s="23" t="inlineStr">
        <is>
          <t>PID-11.4 (state)</t>
        </is>
      </c>
      <c r="C10" s="23" t="inlineStr">
        <is>
          <t>e.g. QLD, Qld, Queensland</t>
        </is>
      </c>
      <c r="D10" s="23" t="inlineStr">
        <is>
          <t>copied as sent</t>
        </is>
      </c>
      <c r="E10" s="23" t="inlineStr">
        <is>
          <t>Australian States and Territories (required) https://tx.hl7.org.au/fhir/ValueSet/australian-states-territories-2</t>
        </is>
      </c>
      <c r="F10" s="23" t="inlineStr">
        <is>
          <t>normalise to the value set's codes (believed to be the standard abbreviations, e.g. QLD)</t>
        </is>
      </c>
      <c r="G10" s="23" t="inlineStr">
        <is>
          <t>Value set codes not fetched this session - confirm before building the translation.</t>
        </is>
      </c>
      <c r="H10" s="23" t="inlineStr">
        <is>
          <t>Full names and codes accepted (case-insensitive) -&gt; ACT, NSW, NT, QLD, SA, TAS, VIC, WA. Codes unverified.</t>
        </is>
      </c>
      <c r="I10" s="23" t="inlineStr">
        <is>
          <t>Implemented as proposed</t>
        </is>
      </c>
    </row>
    <row r="11" ht="22.35" customHeight="1" s="13">
      <c r="A11" s="23" t="inlineStr">
        <is>
          <t>AUC-C10</t>
        </is>
      </c>
      <c r="B11" s="23" t="inlineStr">
        <is>
          <t>PID-11.6 (country)</t>
        </is>
      </c>
      <c r="C11" s="23" t="inlineStr">
        <is>
          <t>AU, AUS, Australia</t>
        </is>
      </c>
      <c r="D11" s="23" t="inlineStr">
        <is>
          <t>copied as sent</t>
        </is>
      </c>
      <c r="E11" s="23" t="inlineStr">
        <is>
          <t>AustralianAddress.country fixed 'AU' (ISO 3166 2-letter)</t>
        </is>
      </c>
      <c r="F11" s="23" t="inlineStr">
        <is>
          <t>AU</t>
        </is>
      </c>
      <c r="G11" s="23" t="inlineStr">
        <is>
          <t>Non-Australian addresses stay as plain Address.</t>
        </is>
      </c>
      <c r="H11" s="23" t="inlineStr">
        <is>
          <t>As proposed.</t>
        </is>
      </c>
      <c r="I11" s="23" t="inlineStr">
        <is>
          <t>Implemented as proposed</t>
        </is>
      </c>
    </row>
    <row r="12" ht="22.35" customHeight="1" s="13">
      <c r="A12" s="23" t="inlineStr">
        <is>
          <t>AUC-C11</t>
        </is>
      </c>
      <c r="B12" s="23" t="inlineStr">
        <is>
          <t>PID-11.5 (postcode)</t>
        </is>
      </c>
      <c r="C12" s="23" t="inlineStr">
        <is>
          <t>any</t>
        </is>
      </c>
      <c r="D12" s="23" t="inlineStr">
        <is>
          <t>copied as sent</t>
        </is>
      </c>
      <c r="E12" s="23" t="inlineStr">
        <is>
          <t>AustralianAddress inv-add-3: 4 digits</t>
        </is>
      </c>
      <c r="F12" s="23" t="inlineStr">
        <is>
          <t>unchanged if 4 digits; otherwise send as plain Address</t>
        </is>
      </c>
      <c r="G12" s="23" t="n"/>
      <c r="H12" s="23" t="inlineStr">
        <is>
          <t>As proposed (warning).</t>
        </is>
      </c>
      <c r="I12" s="23" t="inlineStr">
        <is>
          <t>Implemented as proposed</t>
        </is>
      </c>
    </row>
    <row r="13" ht="32.8" customHeight="1" s="13">
      <c r="A13" s="23" t="inlineStr">
        <is>
          <t>AUC-C12</t>
        </is>
      </c>
      <c r="B13" s="23" t="inlineStr">
        <is>
          <t>PID-10 (table 0005)</t>
        </is>
      </c>
      <c r="C13" s="23" t="inlineStr">
        <is>
          <t>sender's Indigenous status codes</t>
        </is>
      </c>
      <c r="D13" s="23" t="inlineStr">
        <is>
          <t>not read</t>
        </is>
      </c>
      <c r="E13" s="23" t="inlineStr">
        <is>
          <t>Australian Indigenous Status (required) https://healthterminologies.gov.au/fhir/ValueSet/australian-indigenous-status-1</t>
        </is>
      </c>
      <c r="F13" s="23" t="inlineStr">
        <is>
          <t>translate (believed to be the METeOR codes 1, 2, 3, 4, 9)</t>
        </is>
      </c>
      <c r="G13" s="23" t="inlineStr">
        <is>
          <t>Codes not listed on the pages fetched; PID-10 usage not confirmed - see AUC-13.</t>
        </is>
      </c>
      <c r="H13" s="23" t="inlineStr">
        <is>
          <t>Codes 1, 2, 3, 4, 9 passed through; system https://healthterminologies.gov.au/fhir/CodeSystem/australian-indigenous-status-1 (no display).</t>
        </is>
      </c>
      <c r="I13" s="23" t="inlineStr">
        <is>
          <t>Implemented as proposed</t>
        </is>
      </c>
    </row>
    <row r="14" ht="22.35" customHeight="1" s="13">
      <c r="A14" s="23" t="inlineStr">
        <is>
          <t>AUC-C13</t>
        </is>
      </c>
      <c r="B14" s="23" t="inlineStr">
        <is>
          <t>PID-15 (Primary Language)</t>
        </is>
      </c>
      <c r="C14" s="23" t="inlineStr">
        <is>
          <t>sender's language codes</t>
        </is>
      </c>
      <c r="D14" s="23" t="inlineStr">
        <is>
          <t>not read</t>
        </is>
      </c>
      <c r="E14" s="23" t="inlineStr">
        <is>
          <t>Common Languages in Australia (extensible)</t>
        </is>
      </c>
      <c r="F14" s="23" t="inlineStr">
        <is>
          <t>translate to the value set; local code only if none fits</t>
        </is>
      </c>
      <c r="G14" s="23" t="n"/>
      <c r="H14" s="23" t="inlineStr">
        <is>
          <t>urn:ietf:bcp:47 when CE.3 is ISO639/BCP47, else text only.</t>
        </is>
      </c>
      <c r="I14" s="23" t="inlineStr">
        <is>
          <t>Implemented as proposed</t>
        </is>
      </c>
    </row>
    <row r="15" ht="32.8" customHeight="1" s="13">
      <c r="A15" s="23" t="inlineStr">
        <is>
          <t>AUC-C14</t>
        </is>
      </c>
      <c r="B15" s="23" t="inlineStr">
        <is>
          <t>AIL-4</t>
        </is>
      </c>
      <c r="C15" s="23" t="inlineStr">
        <is>
          <t>local location type codes</t>
        </is>
      </c>
      <c r="D15" s="23" t="inlineStr">
        <is>
          <t>placeholder local code system; FHIR binding ServiceDeliveryLocationRoleType</t>
        </is>
      </c>
      <c r="E15" s="23" t="inlineStr">
        <is>
          <t>ServiceDeliveryLocationRoleType - AU Extended (extensible) http://terminology.hl7.org.au/ValueSet/v3-ServiceDeliveryLocationRoleType-extended</t>
        </is>
      </c>
      <c r="F15" s="23" t="inlineStr">
        <is>
          <t>translation table from local codes</t>
        </is>
      </c>
      <c r="G15" s="23" t="inlineStr">
        <is>
          <t>Binding changes from the international to the AU Extended value set.</t>
        </is>
      </c>
      <c r="H15" s="23" t="inlineStr">
        <is>
          <t>Registry locationTypes; none active in the sample.</t>
        </is>
      </c>
      <c r="I15" s="23" t="inlineStr">
        <is>
          <t>Implemented as proposed</t>
        </is>
      </c>
    </row>
    <row r="16" ht="32.8" customHeight="1" s="13">
      <c r="A16" s="23" t="inlineStr">
        <is>
          <t>AUC-C15</t>
        </is>
      </c>
      <c r="B16" s="23" t="inlineStr">
        <is>
          <t>AIL-3 PL components (derived)</t>
        </is>
      </c>
      <c r="C16" s="23" t="inlineStr">
        <is>
          <t>bed / room / point of care present</t>
        </is>
      </c>
      <c r="D16" s="23" t="inlineStr">
        <is>
          <t>not mapped</t>
        </is>
      </c>
      <c r="E16" s="23" t="inlineStr">
        <is>
          <t>Location Type (Physical) - AU Extended (preferred) http://terminology.hl7.org.au/ValueSet/location-physical-type-extended</t>
        </is>
      </c>
      <c r="F16" s="23" t="inlineStr">
        <is>
          <t>bd / ro / wa (proposal)</t>
        </is>
      </c>
      <c r="G16" s="23" t="inlineStr">
        <is>
          <t>Codes from memory; point of care -&gt; ward is an assumption.</t>
        </is>
      </c>
      <c r="H16" s="23" t="inlineStr">
        <is>
          <t>As proposed.</t>
        </is>
      </c>
      <c r="I16" s="23" t="inlineStr">
        <is>
          <t>Implemented as proposed</t>
        </is>
      </c>
    </row>
    <row r="17" ht="22.35" customHeight="1" s="13">
      <c r="A17" s="23" t="inlineStr">
        <is>
          <t>AUC-C16</t>
        </is>
      </c>
      <c r="B17" s="23" t="inlineStr">
        <is>
          <t>AIP-4, AIG-4</t>
        </is>
      </c>
      <c r="C17" s="23" t="inlineStr">
        <is>
          <t>local role codes</t>
        </is>
      </c>
      <c r="D17" s="23" t="inlineStr">
        <is>
          <t>placeholder local code system</t>
        </is>
      </c>
      <c r="E17" s="23" t="inlineStr">
        <is>
          <t>Appointment.participant.type - no AU Core binding (Appointment isn't profiled)</t>
        </is>
      </c>
      <c r="F17" s="23" t="inlineStr">
        <is>
          <t>no AU-specific change</t>
        </is>
      </c>
      <c r="G17" s="23" t="inlineStr">
        <is>
          <t>Base FHIR issue ISSUE-08 still applies (e.g. ATND -&gt; v3-ParticipationType).</t>
        </is>
      </c>
      <c r="H17" s="23" t="inlineStr">
        <is>
          <t>Known codes -&gt; v3-ParticipationType / participant-type (AUC-27).</t>
        </is>
      </c>
      <c r="I17" s="23" t="inlineStr">
        <is>
          <t>Implemented differently</t>
        </is>
      </c>
    </row>
    <row r="18" ht="15" customHeight="1" s="13">
      <c r="A18" s="23" t="inlineStr">
        <is>
          <t>AUC-C17</t>
        </is>
      </c>
      <c r="B18" s="23" t="inlineStr">
        <is>
          <t>SCH-25, SCH-7, AIS-3, SCH-6</t>
        </is>
      </c>
      <c r="C18" s="23" t="inlineStr">
        <is>
          <t>all</t>
        </is>
      </c>
      <c r="D18" s="23" t="inlineStr">
        <is>
          <t>as on the Code Mappings sheet</t>
        </is>
      </c>
      <c r="E18" s="23" t="inlineStr">
        <is>
          <t>Appointment not profiled by AU Core</t>
        </is>
      </c>
      <c r="F18" s="23" t="inlineStr">
        <is>
          <t>no change</t>
        </is>
      </c>
      <c r="G18" s="23" t="n"/>
      <c r="H18" s="23" t="inlineStr">
        <is>
          <t>No change.</t>
        </is>
      </c>
      <c r="I18" s="23" t="inlineStr">
        <is>
          <t>No change needed</t>
        </is>
      </c>
    </row>
    <row r="19" ht="22.35" customHeight="1" s="13">
      <c r="A19" s="23" t="inlineStr">
        <is>
          <t>AUC-C18</t>
        </is>
      </c>
      <c r="B19" s="23" t="inlineStr">
        <is>
          <t>(service-created resources)</t>
        </is>
      </c>
      <c r="C19" s="23" t="inlineStr">
        <is>
          <t>-</t>
        </is>
      </c>
      <c r="D19" s="23" t="inlineStr">
        <is>
          <t>-</t>
        </is>
      </c>
      <c r="E19" s="23" t="inlineStr">
        <is>
          <t>meta.tag - this IG's CodeSystem siu2fhir-tag (&lt;IG canonical&gt;/CodeSystem/siu2fhir-tag)</t>
        </is>
      </c>
      <c r="F19" s="23" t="inlineStr">
        <is>
          <t>placeholder</t>
        </is>
      </c>
      <c r="G19" s="23" t="inlineStr">
        <is>
          <t>Marks Organizations the service created for unknown facilities, for curation.</t>
        </is>
      </c>
      <c r="H19" s="23" t="inlineStr">
        <is>
          <t>As described.</t>
        </is>
      </c>
      <c r="I19" s="23" t="inlineStr">
        <is>
          <t>Implemented as proposed</t>
        </is>
      </c>
    </row>
  </sheetData>
  <conditionalFormatting sqref="I2:I19">
    <cfRule type="expression" rank="0" priority="2" equalAverage="0" aboveAverage="0" dxfId="8" text="" percent="0" bottom="0">
      <formula>$I2="Implemented as proposed"</formula>
    </cfRule>
    <cfRule type="expression" rank="0" priority="3" equalAverage="0" aboveAverage="0" dxfId="10" text="" percent="0" bottom="0">
      <formula>$I2="Implemented differently"</formula>
    </cfRule>
    <cfRule type="expression" rank="0" priority="4" equalAverage="0" aboveAverage="0" dxfId="14" text="" percent="0" bottom="0">
      <formula>$I2="Not implemented"</formula>
    </cfRule>
    <cfRule type="expression" rank="0" priority="5" equalAverage="0" aboveAverage="0" dxfId="11" text="" percent="0" bottom="0">
      <formula>$I2="No change needed"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3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2" min="1" max="1"/>
    <col width="90" customWidth="1" style="12" min="2" max="2"/>
    <col width="50" customWidth="1" style="12" min="3" max="3"/>
  </cols>
  <sheetData>
    <row r="1" ht="31.5" customHeight="1" s="13">
      <c r="A1" s="22" t="inlineStr">
        <is>
          <t>Source</t>
        </is>
      </c>
      <c r="B1" s="22" t="inlineStr">
        <is>
          <t>Location</t>
        </is>
      </c>
      <c r="C1" s="22" t="inlineStr">
        <is>
          <t>Used For</t>
        </is>
      </c>
    </row>
    <row r="2" ht="15" customHeight="1" s="13">
      <c r="A2" s="23" t="inlineStr">
        <is>
          <t>Implementation</t>
        </is>
      </c>
      <c r="B2" s="23" t="inlineStr">
        <is>
          <t>siu-fhir-poc/siu2fhir/mapping.py, processor.py (this project)</t>
        </is>
      </c>
      <c r="C2" s="23" t="inlineStr">
        <is>
          <t>Code as of 9 Oct 2026</t>
        </is>
      </c>
    </row>
    <row r="3" ht="15" customHeight="1" s="13">
      <c r="A3" s="23" t="inlineStr">
        <is>
          <t>FHIR R4 Appointment definitions</t>
        </is>
      </c>
      <c r="B3" s="23" t="inlineStr">
        <is>
          <t>https://hl7.org/fhir/R4/appointment-definitions.html</t>
        </is>
      </c>
      <c r="C3" s="23" t="inlineStr">
        <is>
          <t>Element definitions, bindings, invariant app-3</t>
        </is>
      </c>
    </row>
    <row r="4" ht="15" customHeight="1" s="13">
      <c r="A4" s="23" t="inlineStr">
        <is>
          <t>FHIR R4 Patient definitions</t>
        </is>
      </c>
      <c r="B4" s="23" t="inlineStr">
        <is>
          <t>https://hl7.org/fhir/R4/patient-definitions.html</t>
        </is>
      </c>
      <c r="C4" s="23" t="n"/>
    </row>
    <row r="5" ht="15" customHeight="1" s="13">
      <c r="A5" s="23" t="inlineStr">
        <is>
          <t>FHIR R4 Practitioner definitions</t>
        </is>
      </c>
      <c r="B5" s="23" t="inlineStr">
        <is>
          <t>https://hl7.org/fhir/R4/practitioner-definitions.html</t>
        </is>
      </c>
      <c r="C5" s="23" t="n"/>
    </row>
    <row r="6" ht="15" customHeight="1" s="13">
      <c r="A6" s="23" t="inlineStr">
        <is>
          <t>FHIR R4 Location definitions</t>
        </is>
      </c>
      <c r="B6" s="23" t="inlineStr">
        <is>
          <t>https://hl7.org/fhir/R4/location-definitions.html</t>
        </is>
      </c>
      <c r="C6" s="23" t="n"/>
    </row>
    <row r="7" ht="15" customHeight="1" s="13">
      <c r="A7" s="23" t="inlineStr">
        <is>
          <t>FHIR R4 datatype definitions</t>
        </is>
      </c>
      <c r="B7" s="23" t="inlineStr">
        <is>
          <t>https://hl7.org/fhir/R4/datatypes-definitions.html</t>
        </is>
      </c>
      <c r="C7" s="23" t="inlineStr">
        <is>
          <t>Identifier, HumanName, ContactPoint, Address</t>
        </is>
      </c>
    </row>
    <row r="8" ht="15" customHeight="1" s="13">
      <c r="A8" s="23" t="inlineStr">
        <is>
          <t>FHIR R4 AppointmentStatus</t>
        </is>
      </c>
      <c r="B8" s="23" t="inlineStr">
        <is>
          <t>https://hl7.org/fhir/R4/valueset-appointmentstatus.html</t>
        </is>
      </c>
      <c r="C8" s="23" t="n"/>
    </row>
    <row r="9" ht="15" customHeight="1" s="13">
      <c r="A9" s="23" t="inlineStr">
        <is>
          <t>FHIR R4 Participant type value set</t>
        </is>
      </c>
      <c r="B9" s="23" t="inlineStr">
        <is>
          <t>https://hl7.org/fhir/R4/valueset-encounter-participant-type.html</t>
        </is>
      </c>
      <c r="C9" s="23" t="inlineStr">
        <is>
          <t>Confirms ATND (v3-ParticipationType)</t>
        </is>
      </c>
    </row>
    <row r="10" ht="15" customHeight="1" s="13">
      <c r="A10" s="23" t="inlineStr">
        <is>
          <t>v2 table 0278 (R4 publication)</t>
        </is>
      </c>
      <c r="B10" s="23" t="inlineStr">
        <is>
          <t>https://hl7.org/fhir/R4/v2/0278/index.html</t>
        </is>
      </c>
      <c r="C10" s="23" t="inlineStr">
        <is>
          <t>Codes incl. 'Discontinued' (v2.3) and 'DC' (v2.9)</t>
        </is>
      </c>
    </row>
    <row r="11" ht="15" customHeight="1" s="13">
      <c r="A11" s="23" t="inlineStr">
        <is>
          <t>v2 table 0276 (R4 publication)</t>
        </is>
      </c>
      <c r="B11" s="23" t="inlineStr">
        <is>
          <t>https://hl7.org/fhir/R4/v2/0276/index.html</t>
        </is>
      </c>
      <c r="C11" s="23" t="n"/>
    </row>
    <row r="12" ht="15" customHeight="1" s="13">
      <c r="A12" s="23" t="inlineStr">
        <is>
          <t>v2 table 0203 (R4 publication)</t>
        </is>
      </c>
      <c r="B12" s="23" t="inlineStr">
        <is>
          <t>https://hl7.org/fhir/R4/v2/0203/index.html</t>
        </is>
      </c>
      <c r="C12" s="23" t="inlineStr">
        <is>
          <t>MR, FILL, PLAC, NI, MC</t>
        </is>
      </c>
    </row>
    <row r="13" ht="15" customHeight="1" s="13">
      <c r="A13" s="23" t="inlineStr">
        <is>
          <t>HL7 v2.5 Chapter 10 (Scheduling)</t>
        </is>
      </c>
      <c r="B13" s="23" t="inlineStr">
        <is>
          <t>https://www.hl7.eu/HL7v2x/v25/std25/ch10.html</t>
        </is>
      </c>
      <c r="C13" s="23" t="inlineStr">
        <is>
          <t>SCH, AIS, AIG, AIL, AIP field names; SIU_S12 structure</t>
        </is>
      </c>
    </row>
    <row r="14" ht="15" customHeight="1" s="13">
      <c r="A14" s="23" t="inlineStr">
        <is>
          <t>HL7 v2.5 Chapter 3 (PID)</t>
        </is>
      </c>
      <c r="B14" s="23" t="inlineStr">
        <is>
          <t>https://www.hl7.eu/HL7v2x/v25/std25/ch03.html</t>
        </is>
      </c>
      <c r="C14" s="23" t="inlineStr">
        <is>
          <t>PID field names and types</t>
        </is>
      </c>
    </row>
    <row r="15" ht="15" customHeight="1" s="13">
      <c r="A15" s="23" t="inlineStr">
        <is>
          <t>HL7 v2.5 Chapter 2 (MSH, NTE)</t>
        </is>
      </c>
      <c r="B15" s="23" t="inlineStr">
        <is>
          <t>https://www.hl7.eu/HL7v2x/v25/std25/ch02.html</t>
        </is>
      </c>
      <c r="C15" s="23" t="inlineStr">
        <is>
          <t>MSH, NTE, MSA, ERR field names and types</t>
        </is>
      </c>
    </row>
    <row r="16" ht="15" customHeight="1" s="13">
      <c r="A16" s="23" t="inlineStr">
        <is>
          <t>HL7 v2-to-FHIR IG: SCH -&gt; Appointment</t>
        </is>
      </c>
      <c r="B16" s="23" t="inlineStr">
        <is>
          <t>https://hl7.org/fhir/uv/v2mappings/ConceptMap-segment-sch-to-appointment.html</t>
        </is>
      </c>
      <c r="C16" s="23" t="inlineStr">
        <is>
          <t>IG v1.0.0 (STU 1)</t>
        </is>
      </c>
    </row>
    <row r="17" ht="15" customHeight="1" s="13">
      <c r="A17" s="23" t="inlineStr">
        <is>
          <t>HL7 v2-to-FHIR IG: AIS / AIG / AIL / AIP</t>
        </is>
      </c>
      <c r="B17" s="23" t="inlineStr">
        <is>
          <t>https://hl7.org/fhir/uv/v2mappings/ConceptMap-segment-ais-to-appointment.html (and -aig-, -ail-, -aip-)</t>
        </is>
      </c>
      <c r="C17" s="23" t="n"/>
    </row>
    <row r="18" ht="15" customHeight="1" s="13">
      <c r="A18" s="23" t="inlineStr">
        <is>
          <t>HL7 v2-to-FHIR IG: SIU_S12 message</t>
        </is>
      </c>
      <c r="B18" s="23" t="inlineStr">
        <is>
          <t>https://build.fhir.org/ig/HL7/v2-to-fhir/ConceptMap-message-siu-s12-to-bundle.html</t>
        </is>
      </c>
      <c r="C18" s="23" t="inlineStr">
        <is>
          <t>Continuous build</t>
        </is>
      </c>
    </row>
    <row r="19" ht="15" customHeight="1" s="13">
      <c r="A19" s="23" t="inlineStr">
        <is>
          <t>HL7 v2-to-FHIR IG: table 0278</t>
        </is>
      </c>
      <c r="B19" s="23" t="inlineStr">
        <is>
          <t>https://hl7.org/fhir/uv/v2mappings/ConceptMap-table-hl70278-to-appointmentstatus.html</t>
        </is>
      </c>
      <c r="C19" s="23" t="n"/>
    </row>
    <row r="20" ht="15" customHeight="1" s="13">
      <c r="A20" s="23" t="inlineStr">
        <is>
          <t>HL7 v2-to-FHIR IG: table 0001</t>
        </is>
      </c>
      <c r="B20" s="23" t="inlineStr">
        <is>
          <t>https://hl7.org/fhir/uv/v2mappings/ConceptMap-table-hl70001-to-administrative-gender.html</t>
        </is>
      </c>
      <c r="C20" s="23" t="n"/>
    </row>
    <row r="21" ht="15" customHeight="1" s="13">
      <c r="A21" s="23" t="inlineStr">
        <is>
          <t>AU: AU Core 2.0.0 home</t>
        </is>
      </c>
      <c r="B21" s="23" t="inlineStr">
        <is>
          <t>https://hl7.org.au/fhir/core/</t>
        </is>
      </c>
      <c r="C21" s="23" t="inlineStr">
        <is>
          <t>Version, status, AU Base 6.0.0 dependency</t>
        </is>
      </c>
    </row>
    <row r="22" ht="15" customHeight="1" s="13">
      <c r="A22" s="23" t="inlineStr">
        <is>
          <t>AU: AU Core profiles and extensions</t>
        </is>
      </c>
      <c r="B22" s="23" t="inlineStr">
        <is>
          <t>https://hl7.org.au/fhir/core/profiles-and-extensions.html</t>
        </is>
      </c>
      <c r="C22" s="23" t="inlineStr">
        <is>
          <t>Profile list (no Appointment)</t>
        </is>
      </c>
    </row>
    <row r="23" ht="15" customHeight="1" s="13">
      <c r="A23" s="23" t="inlineStr">
        <is>
          <t>AU: AU Core change log</t>
        </is>
      </c>
      <c r="B23" s="23" t="inlineStr">
        <is>
          <t>https://hl7.org.au/fhir/core/changes.html</t>
        </is>
      </c>
      <c r="C23" s="23" t="inlineStr">
        <is>
          <t>1.0.0 -&gt; 2.0.0 changes</t>
        </is>
      </c>
    </row>
    <row r="24" ht="15" customHeight="1" s="13">
      <c r="A24" s="23" t="inlineStr">
        <is>
          <t>AU: AU Core 3.0.0-ballot1 change log</t>
        </is>
      </c>
      <c r="B24" s="23" t="inlineStr">
        <is>
          <t>https://hl7.org.au/fhir/core/3.0.0-ballot1/changes.html</t>
        </is>
      </c>
      <c r="C24" s="23" t="inlineStr">
        <is>
          <t>Upcoming changes</t>
        </is>
      </c>
    </row>
    <row r="25" ht="15" customHeight="1" s="13">
      <c r="A25" s="23" t="inlineStr">
        <is>
          <t>AU: AU Core General Requirements</t>
        </is>
      </c>
      <c r="B25" s="23" t="inlineStr">
        <is>
          <t>https://hl7.org.au/fhir/core/general-requirements.html</t>
        </is>
      </c>
      <c r="C25" s="23" t="inlineStr">
        <is>
          <t>Missing data, Must Support obligations</t>
        </is>
      </c>
    </row>
    <row r="26" ht="15" customHeight="1" s="13">
      <c r="A26" s="23" t="inlineStr">
        <is>
          <t>AU: AU Core Sex and Gender</t>
        </is>
      </c>
      <c r="B26" s="23" t="inlineStr">
        <is>
          <t>https://hl7.org.au/fhir/core/sex-and-gender.html</t>
        </is>
      </c>
      <c r="C26" s="23" t="inlineStr">
        <is>
          <t>Patient.gender guidance</t>
        </is>
      </c>
    </row>
    <row r="27" ht="15" customHeight="1" s="13">
      <c r="A27" s="23" t="inlineStr">
        <is>
          <t>AU: AU Core Patient</t>
        </is>
      </c>
      <c r="B27" s="23" t="inlineStr">
        <is>
          <t>https://hl7.org.au/fhir/core/StructureDefinition-au-core-patient.html</t>
        </is>
      </c>
      <c r="C27" s="23" t="inlineStr">
        <is>
          <t>Cardinalities, invariants, bindings</t>
        </is>
      </c>
    </row>
    <row r="28" ht="15" customHeight="1" s="13">
      <c r="A28" s="23" t="inlineStr">
        <is>
          <t>AU: AU Core Practitioner</t>
        </is>
      </c>
      <c r="B28" s="23" t="inlineStr">
        <is>
          <t>https://hl7.org.au/fhir/core/StructureDefinition-au-core-practitioner.html</t>
        </is>
      </c>
      <c r="C28" s="23" t="n"/>
    </row>
    <row r="29" ht="15" customHeight="1" s="13">
      <c r="A29" s="23" t="inlineStr">
        <is>
          <t>AU: AU Core Location</t>
        </is>
      </c>
      <c r="B29" s="23" t="inlineStr">
        <is>
          <t>https://hl7.org.au/fhir/core/StructureDefinition-au-core-location.html</t>
        </is>
      </c>
      <c r="C29" s="23" t="n"/>
    </row>
    <row r="30" ht="15" customHeight="1" s="13">
      <c r="A30" s="23" t="inlineStr">
        <is>
          <t>AU: AU Core Organization</t>
        </is>
      </c>
      <c r="B30" s="23" t="inlineStr">
        <is>
          <t>https://hl7.org.au/fhir/core/StructureDefinition-au-core-organization.html</t>
        </is>
      </c>
      <c r="C30" s="23" t="n"/>
    </row>
    <row r="31" ht="15" customHeight="1" s="13">
      <c r="A31" s="23" t="inlineStr">
        <is>
          <t>AU: AU Base 6.0.0 profiles and extensions</t>
        </is>
      </c>
      <c r="B31" s="23" t="inlineStr">
        <is>
          <t>https://hl7.org.au/fhir/6.0.0/profiles-and-extensions.html</t>
        </is>
      </c>
      <c r="C31" s="23" t="inlineStr">
        <is>
          <t>Identifier and address data type profiles</t>
        </is>
      </c>
    </row>
    <row r="32" ht="22.35" customHeight="1" s="13">
      <c r="A32" s="23" t="inlineStr">
        <is>
          <t>AU: AU Base identifier profiles</t>
        </is>
      </c>
      <c r="B32" s="23" t="inlineStr">
        <is>
          <t>https://hl7.org.au/fhir/6.0.0/StructureDefinition-au-ihi.html (also -au-medicarecardnumber, -au-dvanumber, -au-medicalrecordnumber, -au-pi, -au-hpii, -au-medicareprovidernumber)</t>
        </is>
      </c>
      <c r="C32" s="23" t="inlineStr">
        <is>
          <t>Systems, type codes, value constraints</t>
        </is>
      </c>
    </row>
    <row r="33" ht="15" customHeight="1" s="13">
      <c r="A33" s="23" t="inlineStr">
        <is>
          <t>AU: AU Base Australian Address</t>
        </is>
      </c>
      <c r="B33" s="23" t="inlineStr">
        <is>
          <t>https://hl7.org.au/fhir/6.0.0/StructureDefinition-au-address.html</t>
        </is>
      </c>
      <c r="C33" s="23" t="n"/>
    </row>
    <row r="34" ht="15" customHeight="1" s="13">
      <c r="A34" s="23" t="inlineStr">
        <is>
          <t>AU: AU Base Location</t>
        </is>
      </c>
      <c r="B34" s="23" t="inlineStr">
        <is>
          <t>https://hl7.org.au/fhir/6.0.0/StructureDefinition-au-location.html</t>
        </is>
      </c>
      <c r="C34" s="23" t="inlineStr">
        <is>
          <t>type and physicalType bindings</t>
        </is>
      </c>
    </row>
    <row r="35" ht="15" customHeight="1" s="13">
      <c r="A35" s="23" t="inlineStr">
        <is>
          <t>AU: AU Base Indigenous Status extension</t>
        </is>
      </c>
      <c r="B35" s="23" t="inlineStr">
        <is>
          <t>https://hl7.org.au/fhir/6.0.0/StructureDefinition-indigenous-status.html</t>
        </is>
      </c>
      <c r="C35" s="23" t="n"/>
    </row>
    <row r="36" ht="32.8" customHeight="1" s="13">
      <c r="A36" s="23" t="inlineStr">
        <is>
          <t>AU: Representation of common Australian identifiers in v2 and CDA (Health Intersections blog, 2020)</t>
        </is>
      </c>
      <c r="B36" s="23" t="inlineStr">
        <is>
          <t>https://healthintersections.com.au/2020/07/29/representation-of-common-australian-identifiers-in-v2-and-cda.html</t>
        </is>
      </c>
      <c r="C36" s="23" t="inlineStr">
        <is>
          <t>v2 conventions for IHI, Medicare, HPI-I, provider number (secondary source citing AS 4700.1)</t>
        </is>
      </c>
    </row>
    <row r="37" ht="15" customHeight="1" s="13">
      <c r="A37" s="23" t="inlineStr">
        <is>
          <t>AU: HL7 v2.4 table 0363</t>
        </is>
      </c>
      <c r="B37" s="23" t="inlineStr">
        <is>
          <t>https://www.hl7.eu/HL7v2x/v24/hl7v24tab0363.htm</t>
        </is>
      </c>
      <c r="C37" s="23" t="inlineStr">
        <is>
          <t>AUSHIC, AUSDVA assigning authorities</t>
        </is>
      </c>
    </row>
    <row r="39" ht="15" customHeight="1" s="13">
      <c r="A39" s="24" t="inlineStr">
        <is>
          <t>Web sources accessed 9 October 2026.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2026-10-26T02:47:30Z</dcterms:created>
  <dcterms:modified xmlns:dcterms="http://purl.org/dc/terms/" xmlns:xsi="http://www.w3.org/2001/XMLSchema-instance" xsi:type="dcterms:W3CDTF">2026-10-28T05:16:17Z</dcterms:modified>
  <cp:revision>0</cp:revision>
</cp:coreProperties>
</file>